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.6\laragon\www\t3\"/>
    </mc:Choice>
  </mc:AlternateContent>
  <xr:revisionPtr revIDLastSave="0" documentId="13_ncr:1_{31726B3C-EAEA-4D50-887A-49FAD3591142}" xr6:coauthVersionLast="47" xr6:coauthVersionMax="47" xr10:uidLastSave="{00000000-0000-0000-0000-000000000000}"/>
  <bookViews>
    <workbookView xWindow="1572" yWindow="9768" windowWidth="19392" windowHeight="12504" firstSheet="2" activeTab="6" xr2:uid="{A6F64B46-DD3A-4625-993E-1B49EC177123}"/>
  </bookViews>
  <sheets>
    <sheet name="unitdata" sheetId="1" r:id="rId1"/>
    <sheet name="resdata" sheetId="2" r:id="rId2"/>
    <sheet name="abdata51-58" sheetId="3" r:id="rId3"/>
    <sheet name="abdata61-68" sheetId="5" r:id="rId4"/>
    <sheet name="abdata71-78" sheetId="6" r:id="rId5"/>
    <sheet name="abdata81-88" sheetId="7" r:id="rId6"/>
    <sheet name="buidata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" i="4" l="1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3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27" i="4"/>
  <c r="L26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4" i="4"/>
  <c r="K3" i="4"/>
</calcChain>
</file>

<file path=xl/sharedStrings.xml><?xml version="1.0" encoding="utf-8"?>
<sst xmlns="http://schemas.openxmlformats.org/spreadsheetml/2006/main" count="528" uniqueCount="151">
  <si>
    <t>ico</t>
  </si>
  <si>
    <t>name</t>
  </si>
  <si>
    <t>Mercenary</t>
  </si>
  <si>
    <t>Bowman</t>
  </si>
  <si>
    <t>Spotter</t>
  </si>
  <si>
    <t>Steppe Rider</t>
  </si>
  <si>
    <t>Marksman</t>
  </si>
  <si>
    <t>Marauder</t>
  </si>
  <si>
    <t>Ram</t>
  </si>
  <si>
    <t>Catapult</t>
  </si>
  <si>
    <t>Logades</t>
  </si>
  <si>
    <t>Settler</t>
  </si>
  <si>
    <t>atk</t>
  </si>
  <si>
    <t>di</t>
  </si>
  <si>
    <t>dc</t>
  </si>
  <si>
    <t>speed</t>
  </si>
  <si>
    <t>cap</t>
  </si>
  <si>
    <t>wood</t>
  </si>
  <si>
    <t>clay</t>
  </si>
  <si>
    <t>iron</t>
  </si>
  <si>
    <t>crop</t>
  </si>
  <si>
    <t>pop</t>
  </si>
  <si>
    <t>time</t>
  </si>
  <si>
    <t>HUNS</t>
  </si>
  <si>
    <t>Slave Militia</t>
  </si>
  <si>
    <t>Ash Warden</t>
  </si>
  <si>
    <t>Khopesh Warrior</t>
  </si>
  <si>
    <t>Sopdu Explorer</t>
  </si>
  <si>
    <t>Anhur Guard</t>
  </si>
  <si>
    <t>Resheph Chariot</t>
  </si>
  <si>
    <t>Stone Catapult</t>
  </si>
  <si>
    <t>Nomarch</t>
  </si>
  <si>
    <t>—</t>
  </si>
  <si>
    <t>EGYPTIANS</t>
  </si>
  <si>
    <t>Hoplite</t>
  </si>
  <si>
    <t>Sentinel</t>
  </si>
  <si>
    <t>Shieldsman</t>
  </si>
  <si>
    <t>Twinsteel Therion</t>
  </si>
  <si>
    <t>Elpida Rider</t>
  </si>
  <si>
    <t>Corinthian Crusher</t>
  </si>
  <si>
    <t>Ballista</t>
  </si>
  <si>
    <t>Ephor</t>
  </si>
  <si>
    <t>SPARTANS</t>
  </si>
  <si>
    <t>Thrall</t>
  </si>
  <si>
    <t>Shield Maiden</t>
  </si>
  <si>
    <t>Berserker</t>
  </si>
  <si>
    <t>Heimdall’s Eye</t>
  </si>
  <si>
    <t>Huskarl Rider</t>
  </si>
  <si>
    <t>Valkyrie’s Blessing</t>
  </si>
  <si>
    <t>Jarl</t>
  </si>
  <si>
    <t>VIKINGS</t>
  </si>
  <si>
    <t>u51</t>
  </si>
  <si>
    <t>u52</t>
  </si>
  <si>
    <t>u53</t>
  </si>
  <si>
    <t>u56</t>
  </si>
  <si>
    <t>u54</t>
  </si>
  <si>
    <t>u55</t>
  </si>
  <si>
    <t>u57</t>
  </si>
  <si>
    <t>u58</t>
  </si>
  <si>
    <t>u59</t>
  </si>
  <si>
    <t>u60</t>
  </si>
  <si>
    <t>u61</t>
  </si>
  <si>
    <t>u62</t>
  </si>
  <si>
    <t>u63</t>
  </si>
  <si>
    <t>u66</t>
  </si>
  <si>
    <t>u64</t>
  </si>
  <si>
    <t>u65</t>
  </si>
  <si>
    <t>u67</t>
  </si>
  <si>
    <t>u68</t>
  </si>
  <si>
    <t>u69</t>
  </si>
  <si>
    <t>u70</t>
  </si>
  <si>
    <t>u71</t>
  </si>
  <si>
    <t>u72</t>
  </si>
  <si>
    <t>u73</t>
  </si>
  <si>
    <t>u76</t>
  </si>
  <si>
    <t>u74</t>
  </si>
  <si>
    <t>u75</t>
  </si>
  <si>
    <t>u77</t>
  </si>
  <si>
    <t>u78</t>
  </si>
  <si>
    <t>u79</t>
  </si>
  <si>
    <t>u80</t>
  </si>
  <si>
    <t>u81</t>
  </si>
  <si>
    <t>u82</t>
  </si>
  <si>
    <t>u86</t>
  </si>
  <si>
    <t>u84</t>
  </si>
  <si>
    <t>u83</t>
  </si>
  <si>
    <t>u85</t>
  </si>
  <si>
    <t>u87</t>
  </si>
  <si>
    <t>u88</t>
  </si>
  <si>
    <t>u89</t>
  </si>
  <si>
    <t>u90</t>
  </si>
  <si>
    <t>15532.5</t>
  </si>
  <si>
    <t>bid44</t>
  </si>
  <si>
    <t>Command Center</t>
  </si>
  <si>
    <t>lvl</t>
  </si>
  <si>
    <t>cp</t>
  </si>
  <si>
    <t>attri</t>
  </si>
  <si>
    <t>bid43</t>
  </si>
  <si>
    <t>bid46</t>
  </si>
  <si>
    <t>Hospital</t>
  </si>
  <si>
    <t>Waterworks</t>
  </si>
  <si>
    <t>bid45</t>
  </si>
  <si>
    <t>defence</t>
  </si>
  <si>
    <t>Egyptians</t>
  </si>
  <si>
    <t>Makeshift Wall</t>
  </si>
  <si>
    <t>Huns</t>
  </si>
  <si>
    <t>bid42</t>
  </si>
  <si>
    <t>Stone Wall</t>
  </si>
  <si>
    <t>Defensive Wall</t>
  </si>
  <si>
    <t>spartans</t>
  </si>
  <si>
    <t>Barricade</t>
  </si>
  <si>
    <t>bid50</t>
  </si>
  <si>
    <t>bid48</t>
  </si>
  <si>
    <t>bid47</t>
  </si>
  <si>
    <t>Vikings</t>
  </si>
  <si>
    <t>defense</t>
  </si>
  <si>
    <t>oasis prod increase</t>
  </si>
  <si>
    <t>cure</t>
  </si>
  <si>
    <t>Big Hospital</t>
  </si>
  <si>
    <t>ab51</t>
  </si>
  <si>
    <t>ab52</t>
  </si>
  <si>
    <t>ab53</t>
  </si>
  <si>
    <t>ab54</t>
  </si>
  <si>
    <t>ab55</t>
  </si>
  <si>
    <t>ab56</t>
  </si>
  <si>
    <t>ab57</t>
  </si>
  <si>
    <t>ab58</t>
  </si>
  <si>
    <t>ab61</t>
  </si>
  <si>
    <t>ab62</t>
  </si>
  <si>
    <t>ab68</t>
  </si>
  <si>
    <t>ab67</t>
  </si>
  <si>
    <t>ab66</t>
  </si>
  <si>
    <t>ab65</t>
  </si>
  <si>
    <t>ab64</t>
  </si>
  <si>
    <t>ab63</t>
  </si>
  <si>
    <t>ab78</t>
  </si>
  <si>
    <t>ab77</t>
  </si>
  <si>
    <t>ab76</t>
  </si>
  <si>
    <t>ab75</t>
  </si>
  <si>
    <t>ab74</t>
  </si>
  <si>
    <t>ab73</t>
  </si>
  <si>
    <t>ab72</t>
  </si>
  <si>
    <t>ab71</t>
  </si>
  <si>
    <t>ab81</t>
  </si>
  <si>
    <t>ab88</t>
  </si>
  <si>
    <t>ab87</t>
  </si>
  <si>
    <t>ab86</t>
  </si>
  <si>
    <t>ab85</t>
  </si>
  <si>
    <t>ab84</t>
  </si>
  <si>
    <t>ab83</t>
  </si>
  <si>
    <t>ab82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</si>
</sst>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 wrapText="1"/>
    </xf>
    <xf numFmtId="21" fontId="0" fillId="0" borderId="0" xfId="0" applyNumberFormat="1"/>
    <xf numFmtId="21" fontId="0" fillId="0" borderId="0" xfId="0" applyNumberFormat="1" applyAlignment="1">
      <alignment vertical="center" wrapText="1"/>
    </xf>
    <xf numFmtId="46" fontId="0" fillId="0" borderId="0" xfId="0" applyNumberFormat="1" applyAlignment="1">
      <alignment vertical="center" wrapText="1"/>
    </xf>
    <xf numFmtId="10" fontId="0" fillId="0" borderId="0" xfId="0" applyNumberFormat="1"/>
    <xf numFmtId="0" fontId="0" fillId="0" borderId="0" xfId="0" quotePrefix="1" applyAlignment="1">
      <alignment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2</xdr:col>
      <xdr:colOff>7620</xdr:colOff>
      <xdr:row>1</xdr:row>
      <xdr:rowOff>7620</xdr:rowOff>
    </xdr:to>
    <xdr:pic>
      <xdr:nvPicPr>
        <xdr:cNvPr id="2" name="Imagem 1" descr="offense">
          <a:extLst>
            <a:ext uri="{FF2B5EF4-FFF2-40B4-BE49-F238E27FC236}">
              <a16:creationId xmlns:a16="http://schemas.microsoft.com/office/drawing/2014/main" id="{706980E0-811F-3CFD-A1E0-FAC76B76FF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7620</xdr:colOff>
      <xdr:row>1</xdr:row>
      <xdr:rowOff>7620</xdr:rowOff>
    </xdr:to>
    <xdr:pic>
      <xdr:nvPicPr>
        <xdr:cNvPr id="3" name="Imagem 2" descr="Defense value against infantry">
          <a:extLst>
            <a:ext uri="{FF2B5EF4-FFF2-40B4-BE49-F238E27FC236}">
              <a16:creationId xmlns:a16="http://schemas.microsoft.com/office/drawing/2014/main" id="{80BDF3C2-71B2-CE59-78C3-E8CA5DA546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1</xdr:row>
      <xdr:rowOff>0</xdr:rowOff>
    </xdr:from>
    <xdr:to>
      <xdr:col>4</xdr:col>
      <xdr:colOff>7620</xdr:colOff>
      <xdr:row>1</xdr:row>
      <xdr:rowOff>7620</xdr:rowOff>
    </xdr:to>
    <xdr:pic>
      <xdr:nvPicPr>
        <xdr:cNvPr id="4" name="Imagem 3" descr="Defense value against cavalry">
          <a:extLst>
            <a:ext uri="{FF2B5EF4-FFF2-40B4-BE49-F238E27FC236}">
              <a16:creationId xmlns:a16="http://schemas.microsoft.com/office/drawing/2014/main" id="{283A0EEC-F0C7-053F-C3D0-F72CC0B3F0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38400" y="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1</xdr:row>
      <xdr:rowOff>0</xdr:rowOff>
    </xdr:from>
    <xdr:to>
      <xdr:col>5</xdr:col>
      <xdr:colOff>7620</xdr:colOff>
      <xdr:row>1</xdr:row>
      <xdr:rowOff>7620</xdr:rowOff>
    </xdr:to>
    <xdr:pic>
      <xdr:nvPicPr>
        <xdr:cNvPr id="5" name="Imagem 4" descr="Speed">
          <a:extLst>
            <a:ext uri="{FF2B5EF4-FFF2-40B4-BE49-F238E27FC236}">
              <a16:creationId xmlns:a16="http://schemas.microsoft.com/office/drawing/2014/main" id="{DAAE7269-A75A-8A00-7FA0-89DA991585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7620</xdr:colOff>
      <xdr:row>1</xdr:row>
      <xdr:rowOff>7620</xdr:rowOff>
    </xdr:to>
    <xdr:pic>
      <xdr:nvPicPr>
        <xdr:cNvPr id="6" name="Imagem 5" descr="Capacity">
          <a:extLst>
            <a:ext uri="{FF2B5EF4-FFF2-40B4-BE49-F238E27FC236}">
              <a16:creationId xmlns:a16="http://schemas.microsoft.com/office/drawing/2014/main" id="{6ED8B7E9-DF80-AD14-AC27-2C9193ABB7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0" y="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</xdr:row>
      <xdr:rowOff>0</xdr:rowOff>
    </xdr:from>
    <xdr:to>
      <xdr:col>7</xdr:col>
      <xdr:colOff>7620</xdr:colOff>
      <xdr:row>1</xdr:row>
      <xdr:rowOff>7620</xdr:rowOff>
    </xdr:to>
    <xdr:pic>
      <xdr:nvPicPr>
        <xdr:cNvPr id="7" name="Imagem 6" descr="Lumber">
          <a:extLst>
            <a:ext uri="{FF2B5EF4-FFF2-40B4-BE49-F238E27FC236}">
              <a16:creationId xmlns:a16="http://schemas.microsoft.com/office/drawing/2014/main" id="{B6AACE64-1075-C295-0DA5-346B96649D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1</xdr:row>
      <xdr:rowOff>0</xdr:rowOff>
    </xdr:from>
    <xdr:to>
      <xdr:col>8</xdr:col>
      <xdr:colOff>7620</xdr:colOff>
      <xdr:row>1</xdr:row>
      <xdr:rowOff>7620</xdr:rowOff>
    </xdr:to>
    <xdr:pic>
      <xdr:nvPicPr>
        <xdr:cNvPr id="8" name="Imagem 7" descr="Clay">
          <a:extLst>
            <a:ext uri="{FF2B5EF4-FFF2-40B4-BE49-F238E27FC236}">
              <a16:creationId xmlns:a16="http://schemas.microsoft.com/office/drawing/2014/main" id="{64E589BC-E3BB-2250-F4A9-F9E765B520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76800" y="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1</xdr:row>
      <xdr:rowOff>0</xdr:rowOff>
    </xdr:from>
    <xdr:to>
      <xdr:col>9</xdr:col>
      <xdr:colOff>7620</xdr:colOff>
      <xdr:row>1</xdr:row>
      <xdr:rowOff>7620</xdr:rowOff>
    </xdr:to>
    <xdr:pic>
      <xdr:nvPicPr>
        <xdr:cNvPr id="9" name="Imagem 8" descr="Iron">
          <a:extLst>
            <a:ext uri="{FF2B5EF4-FFF2-40B4-BE49-F238E27FC236}">
              <a16:creationId xmlns:a16="http://schemas.microsoft.com/office/drawing/2014/main" id="{028649C3-0843-7C4E-68F0-D06C64CF9B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86400" y="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1</xdr:row>
      <xdr:rowOff>0</xdr:rowOff>
    </xdr:from>
    <xdr:to>
      <xdr:col>10</xdr:col>
      <xdr:colOff>7620</xdr:colOff>
      <xdr:row>1</xdr:row>
      <xdr:rowOff>7620</xdr:rowOff>
    </xdr:to>
    <xdr:pic>
      <xdr:nvPicPr>
        <xdr:cNvPr id="10" name="Imagem 9" descr="Crop">
          <a:extLst>
            <a:ext uri="{FF2B5EF4-FFF2-40B4-BE49-F238E27FC236}">
              <a16:creationId xmlns:a16="http://schemas.microsoft.com/office/drawing/2014/main" id="{880F6C0B-1A6A-F881-E51D-A168C17B93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0" y="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11</xdr:col>
      <xdr:colOff>7620</xdr:colOff>
      <xdr:row>1</xdr:row>
      <xdr:rowOff>7620</xdr:rowOff>
    </xdr:to>
    <xdr:pic>
      <xdr:nvPicPr>
        <xdr:cNvPr id="11" name="Imagem 10" descr="Total cost">
          <a:extLst>
            <a:ext uri="{FF2B5EF4-FFF2-40B4-BE49-F238E27FC236}">
              <a16:creationId xmlns:a16="http://schemas.microsoft.com/office/drawing/2014/main" id="{2A5EFE3A-ACD1-DFC8-D290-A5B671FA8E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0" y="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11</xdr:col>
      <xdr:colOff>7620</xdr:colOff>
      <xdr:row>1</xdr:row>
      <xdr:rowOff>7620</xdr:rowOff>
    </xdr:to>
    <xdr:pic>
      <xdr:nvPicPr>
        <xdr:cNvPr id="12" name="Imagem 11" descr="upkeep">
          <a:extLst>
            <a:ext uri="{FF2B5EF4-FFF2-40B4-BE49-F238E27FC236}">
              <a16:creationId xmlns:a16="http://schemas.microsoft.com/office/drawing/2014/main" id="{7E3E050F-5184-503F-05EA-F77CE7E67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0" y="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0</xdr:colOff>
      <xdr:row>1</xdr:row>
      <xdr:rowOff>0</xdr:rowOff>
    </xdr:from>
    <xdr:to>
      <xdr:col>12</xdr:col>
      <xdr:colOff>7620</xdr:colOff>
      <xdr:row>1</xdr:row>
      <xdr:rowOff>7620</xdr:rowOff>
    </xdr:to>
    <xdr:pic>
      <xdr:nvPicPr>
        <xdr:cNvPr id="13" name="Imagem 12" descr="Time">
          <a:extLst>
            <a:ext uri="{FF2B5EF4-FFF2-40B4-BE49-F238E27FC236}">
              <a16:creationId xmlns:a16="http://schemas.microsoft.com/office/drawing/2014/main" id="{52830AF9-0CF4-FF9F-F159-3884C269CA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7620</xdr:colOff>
      <xdr:row>2</xdr:row>
      <xdr:rowOff>7620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B727875-E6AE-0475-737D-13B418146B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7620</xdr:colOff>
      <xdr:row>3</xdr:row>
      <xdr:rowOff>7620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DC19CEF4-3F28-4D2E-E5C2-8559D843BF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86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7620</xdr:colOff>
      <xdr:row>4</xdr:row>
      <xdr:rowOff>7620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2F35EA95-475A-845D-55B7-FDB6DAE988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15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7620</xdr:colOff>
      <xdr:row>5</xdr:row>
      <xdr:rowOff>7620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BB78FAA3-20CC-0F06-84FA-11C941443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44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7620</xdr:colOff>
      <xdr:row>6</xdr:row>
      <xdr:rowOff>7620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BE525769-AA64-A2A0-7B37-E2F57D69E2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01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7620</xdr:colOff>
      <xdr:row>7</xdr:row>
      <xdr:rowOff>7620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D2DB2CE7-BE4F-5645-30E4-A64025BA24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59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7620</xdr:colOff>
      <xdr:row>8</xdr:row>
      <xdr:rowOff>7620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0E04F892-2418-4583-35F6-0E82DDBC69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116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7620</xdr:colOff>
      <xdr:row>9</xdr:row>
      <xdr:rowOff>7620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C8EDDF99-6897-833B-128B-54446CB94A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945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7620</xdr:colOff>
      <xdr:row>10</xdr:row>
      <xdr:rowOff>7620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9D1C63FB-CA78-83C1-7052-E88F4D0A41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74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7620</xdr:colOff>
      <xdr:row>11</xdr:row>
      <xdr:rowOff>7620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FA885E14-1A8E-3379-B737-06038F94D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603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</xdr:col>
      <xdr:colOff>0</xdr:colOff>
      <xdr:row>14</xdr:row>
      <xdr:rowOff>0</xdr:rowOff>
    </xdr:from>
    <xdr:ext cx="7620" cy="7620"/>
    <xdr:pic>
      <xdr:nvPicPr>
        <xdr:cNvPr id="24" name="Imagem 23" descr="offense">
          <a:extLst>
            <a:ext uri="{FF2B5EF4-FFF2-40B4-BE49-F238E27FC236}">
              <a16:creationId xmlns:a16="http://schemas.microsoft.com/office/drawing/2014/main" id="{82EE58BD-7EE9-4F1F-925E-AF56816EF2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87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7620" cy="7620"/>
    <xdr:pic>
      <xdr:nvPicPr>
        <xdr:cNvPr id="25" name="Imagem 24" descr="Defense value against infantry">
          <a:extLst>
            <a:ext uri="{FF2B5EF4-FFF2-40B4-BE49-F238E27FC236}">
              <a16:creationId xmlns:a16="http://schemas.microsoft.com/office/drawing/2014/main" id="{AB2018D8-8186-4080-A081-D64BB109E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183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14</xdr:row>
      <xdr:rowOff>0</xdr:rowOff>
    </xdr:from>
    <xdr:ext cx="7620" cy="7620"/>
    <xdr:pic>
      <xdr:nvPicPr>
        <xdr:cNvPr id="26" name="Imagem 25" descr="Defense value against cavalry">
          <a:extLst>
            <a:ext uri="{FF2B5EF4-FFF2-40B4-BE49-F238E27FC236}">
              <a16:creationId xmlns:a16="http://schemas.microsoft.com/office/drawing/2014/main" id="{866EF003-A092-4BB1-B47D-EFA76E99E8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79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0</xdr:colOff>
      <xdr:row>14</xdr:row>
      <xdr:rowOff>0</xdr:rowOff>
    </xdr:from>
    <xdr:ext cx="7620" cy="7620"/>
    <xdr:pic>
      <xdr:nvPicPr>
        <xdr:cNvPr id="27" name="Imagem 26" descr="Speed">
          <a:extLst>
            <a:ext uri="{FF2B5EF4-FFF2-40B4-BE49-F238E27FC236}">
              <a16:creationId xmlns:a16="http://schemas.microsoft.com/office/drawing/2014/main" id="{1D23CF9D-ECB6-47A3-896B-23141B9C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75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14</xdr:row>
      <xdr:rowOff>0</xdr:rowOff>
    </xdr:from>
    <xdr:ext cx="7620" cy="7620"/>
    <xdr:pic>
      <xdr:nvPicPr>
        <xdr:cNvPr id="28" name="Imagem 27" descr="Capacity">
          <a:extLst>
            <a:ext uri="{FF2B5EF4-FFF2-40B4-BE49-F238E27FC236}">
              <a16:creationId xmlns:a16="http://schemas.microsoft.com/office/drawing/2014/main" id="{1DAEA913-F9C3-4883-9685-30B50772BB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471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7620" cy="7620"/>
    <xdr:pic>
      <xdr:nvPicPr>
        <xdr:cNvPr id="29" name="Imagem 28" descr="Lumber">
          <a:extLst>
            <a:ext uri="{FF2B5EF4-FFF2-40B4-BE49-F238E27FC236}">
              <a16:creationId xmlns:a16="http://schemas.microsoft.com/office/drawing/2014/main" id="{90942B70-CE44-40AC-889E-F69CD8D550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567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0</xdr:colOff>
      <xdr:row>14</xdr:row>
      <xdr:rowOff>0</xdr:rowOff>
    </xdr:from>
    <xdr:ext cx="7620" cy="7620"/>
    <xdr:pic>
      <xdr:nvPicPr>
        <xdr:cNvPr id="30" name="Imagem 29" descr="Clay">
          <a:extLst>
            <a:ext uri="{FF2B5EF4-FFF2-40B4-BE49-F238E27FC236}">
              <a16:creationId xmlns:a16="http://schemas.microsoft.com/office/drawing/2014/main" id="{12A563C9-3F3A-458E-8959-C900A8A266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663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0</xdr:colOff>
      <xdr:row>14</xdr:row>
      <xdr:rowOff>0</xdr:rowOff>
    </xdr:from>
    <xdr:ext cx="7620" cy="7620"/>
    <xdr:pic>
      <xdr:nvPicPr>
        <xdr:cNvPr id="31" name="Imagem 30" descr="Iron">
          <a:extLst>
            <a:ext uri="{FF2B5EF4-FFF2-40B4-BE49-F238E27FC236}">
              <a16:creationId xmlns:a16="http://schemas.microsoft.com/office/drawing/2014/main" id="{A540E7F9-DA47-4B7F-8612-6F23D2462B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59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14</xdr:row>
      <xdr:rowOff>0</xdr:rowOff>
    </xdr:from>
    <xdr:ext cx="7620" cy="7620"/>
    <xdr:pic>
      <xdr:nvPicPr>
        <xdr:cNvPr id="32" name="Imagem 31" descr="Crop">
          <a:extLst>
            <a:ext uri="{FF2B5EF4-FFF2-40B4-BE49-F238E27FC236}">
              <a16:creationId xmlns:a16="http://schemas.microsoft.com/office/drawing/2014/main" id="{062238C2-B5ED-42D3-BF3F-8AF496D431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55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14</xdr:row>
      <xdr:rowOff>0</xdr:rowOff>
    </xdr:from>
    <xdr:ext cx="7620" cy="7620"/>
    <xdr:pic>
      <xdr:nvPicPr>
        <xdr:cNvPr id="33" name="Imagem 32" descr="Total cost">
          <a:extLst>
            <a:ext uri="{FF2B5EF4-FFF2-40B4-BE49-F238E27FC236}">
              <a16:creationId xmlns:a16="http://schemas.microsoft.com/office/drawing/2014/main" id="{5408A092-D045-43CA-B697-B0045C3C83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951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14</xdr:row>
      <xdr:rowOff>0</xdr:rowOff>
    </xdr:from>
    <xdr:ext cx="7620" cy="7620"/>
    <xdr:pic>
      <xdr:nvPicPr>
        <xdr:cNvPr id="34" name="Imagem 33" descr="upkeep">
          <a:extLst>
            <a:ext uri="{FF2B5EF4-FFF2-40B4-BE49-F238E27FC236}">
              <a16:creationId xmlns:a16="http://schemas.microsoft.com/office/drawing/2014/main" id="{2C2F9041-1EF8-493D-BAB2-75057F4147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047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14</xdr:row>
      <xdr:rowOff>0</xdr:rowOff>
    </xdr:from>
    <xdr:ext cx="7620" cy="7620"/>
    <xdr:pic>
      <xdr:nvPicPr>
        <xdr:cNvPr id="35" name="Imagem 34" descr="Time">
          <a:extLst>
            <a:ext uri="{FF2B5EF4-FFF2-40B4-BE49-F238E27FC236}">
              <a16:creationId xmlns:a16="http://schemas.microsoft.com/office/drawing/2014/main" id="{58BD1C22-9637-4FC6-8961-85A57A519D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43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15</xdr:row>
      <xdr:rowOff>0</xdr:rowOff>
    </xdr:from>
    <xdr:ext cx="7620" cy="7620"/>
    <xdr:pic>
      <xdr:nvPicPr>
        <xdr:cNvPr id="36" name="Imagem 35">
          <a:extLst>
            <a:ext uri="{FF2B5EF4-FFF2-40B4-BE49-F238E27FC236}">
              <a16:creationId xmlns:a16="http://schemas.microsoft.com/office/drawing/2014/main" id="{2048BA3E-EFC7-471D-B658-30ADE9C7F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16</xdr:row>
      <xdr:rowOff>0</xdr:rowOff>
    </xdr:from>
    <xdr:ext cx="7620" cy="7620"/>
    <xdr:pic>
      <xdr:nvPicPr>
        <xdr:cNvPr id="37" name="Imagem 36">
          <a:extLst>
            <a:ext uri="{FF2B5EF4-FFF2-40B4-BE49-F238E27FC236}">
              <a16:creationId xmlns:a16="http://schemas.microsoft.com/office/drawing/2014/main" id="{E64EC2F5-4EBC-413E-9D02-CB8FBDDAF6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15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17</xdr:row>
      <xdr:rowOff>0</xdr:rowOff>
    </xdr:from>
    <xdr:ext cx="7620" cy="7620"/>
    <xdr:pic>
      <xdr:nvPicPr>
        <xdr:cNvPr id="38" name="Imagem 37">
          <a:extLst>
            <a:ext uri="{FF2B5EF4-FFF2-40B4-BE49-F238E27FC236}">
              <a16:creationId xmlns:a16="http://schemas.microsoft.com/office/drawing/2014/main" id="{3A8A1759-075F-48E8-8142-530344488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44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18</xdr:row>
      <xdr:rowOff>0</xdr:rowOff>
    </xdr:from>
    <xdr:ext cx="7620" cy="7620"/>
    <xdr:pic>
      <xdr:nvPicPr>
        <xdr:cNvPr id="39" name="Imagem 38">
          <a:extLst>
            <a:ext uri="{FF2B5EF4-FFF2-40B4-BE49-F238E27FC236}">
              <a16:creationId xmlns:a16="http://schemas.microsoft.com/office/drawing/2014/main" id="{F253A81F-55B2-4DB9-92CB-12A0A21636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972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19</xdr:row>
      <xdr:rowOff>0</xdr:rowOff>
    </xdr:from>
    <xdr:ext cx="7620" cy="7620"/>
    <xdr:pic>
      <xdr:nvPicPr>
        <xdr:cNvPr id="40" name="Imagem 39">
          <a:extLst>
            <a:ext uri="{FF2B5EF4-FFF2-40B4-BE49-F238E27FC236}">
              <a16:creationId xmlns:a16="http://schemas.microsoft.com/office/drawing/2014/main" id="{B536547B-2737-4CEA-9411-73AAA0104A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30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20</xdr:row>
      <xdr:rowOff>0</xdr:rowOff>
    </xdr:from>
    <xdr:ext cx="7620" cy="7620"/>
    <xdr:pic>
      <xdr:nvPicPr>
        <xdr:cNvPr id="41" name="Imagem 40">
          <a:extLst>
            <a:ext uri="{FF2B5EF4-FFF2-40B4-BE49-F238E27FC236}">
              <a16:creationId xmlns:a16="http://schemas.microsoft.com/office/drawing/2014/main" id="{2EB947C4-5183-4C2C-9253-B767C10ABB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288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21</xdr:row>
      <xdr:rowOff>0</xdr:rowOff>
    </xdr:from>
    <xdr:ext cx="7620" cy="7620"/>
    <xdr:pic>
      <xdr:nvPicPr>
        <xdr:cNvPr id="42" name="Imagem 41">
          <a:extLst>
            <a:ext uri="{FF2B5EF4-FFF2-40B4-BE49-F238E27FC236}">
              <a16:creationId xmlns:a16="http://schemas.microsoft.com/office/drawing/2014/main" id="{34585EE4-CD72-4740-AA66-28BAE767EC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945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22</xdr:row>
      <xdr:rowOff>0</xdr:rowOff>
    </xdr:from>
    <xdr:ext cx="7620" cy="7620"/>
    <xdr:pic>
      <xdr:nvPicPr>
        <xdr:cNvPr id="43" name="Imagem 42">
          <a:extLst>
            <a:ext uri="{FF2B5EF4-FFF2-40B4-BE49-F238E27FC236}">
              <a16:creationId xmlns:a16="http://schemas.microsoft.com/office/drawing/2014/main" id="{6B9FD3EC-9084-4DA1-A181-0D5DC3EA3D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74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23</xdr:row>
      <xdr:rowOff>0</xdr:rowOff>
    </xdr:from>
    <xdr:ext cx="7620" cy="7620"/>
    <xdr:pic>
      <xdr:nvPicPr>
        <xdr:cNvPr id="44" name="Imagem 43">
          <a:extLst>
            <a:ext uri="{FF2B5EF4-FFF2-40B4-BE49-F238E27FC236}">
              <a16:creationId xmlns:a16="http://schemas.microsoft.com/office/drawing/2014/main" id="{DD08D2CB-CF5F-4C57-8728-215385611F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603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24</xdr:row>
      <xdr:rowOff>0</xdr:rowOff>
    </xdr:from>
    <xdr:ext cx="7620" cy="7620"/>
    <xdr:pic>
      <xdr:nvPicPr>
        <xdr:cNvPr id="45" name="Imagem 44">
          <a:extLst>
            <a:ext uri="{FF2B5EF4-FFF2-40B4-BE49-F238E27FC236}">
              <a16:creationId xmlns:a16="http://schemas.microsoft.com/office/drawing/2014/main" id="{67B2E470-B137-46B0-B817-AFADA902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3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27</xdr:row>
      <xdr:rowOff>0</xdr:rowOff>
    </xdr:from>
    <xdr:ext cx="7620" cy="7620"/>
    <xdr:pic>
      <xdr:nvPicPr>
        <xdr:cNvPr id="46" name="Imagem 45" descr="offense">
          <a:extLst>
            <a:ext uri="{FF2B5EF4-FFF2-40B4-BE49-F238E27FC236}">
              <a16:creationId xmlns:a16="http://schemas.microsoft.com/office/drawing/2014/main" id="{CC54450B-4949-4517-84A5-40CDB8C610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87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27</xdr:row>
      <xdr:rowOff>0</xdr:rowOff>
    </xdr:from>
    <xdr:ext cx="7620" cy="7620"/>
    <xdr:pic>
      <xdr:nvPicPr>
        <xdr:cNvPr id="47" name="Imagem 46" descr="Defense value against infantry">
          <a:extLst>
            <a:ext uri="{FF2B5EF4-FFF2-40B4-BE49-F238E27FC236}">
              <a16:creationId xmlns:a16="http://schemas.microsoft.com/office/drawing/2014/main" id="{A3D9E8F7-FD5F-4DBD-9BBD-04E41AD340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183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27</xdr:row>
      <xdr:rowOff>0</xdr:rowOff>
    </xdr:from>
    <xdr:ext cx="7620" cy="7620"/>
    <xdr:pic>
      <xdr:nvPicPr>
        <xdr:cNvPr id="48" name="Imagem 47" descr="Defense value against cavalry">
          <a:extLst>
            <a:ext uri="{FF2B5EF4-FFF2-40B4-BE49-F238E27FC236}">
              <a16:creationId xmlns:a16="http://schemas.microsoft.com/office/drawing/2014/main" id="{D7028356-8AC7-4869-93F1-96A5EBBAD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79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0</xdr:colOff>
      <xdr:row>27</xdr:row>
      <xdr:rowOff>0</xdr:rowOff>
    </xdr:from>
    <xdr:ext cx="7620" cy="7620"/>
    <xdr:pic>
      <xdr:nvPicPr>
        <xdr:cNvPr id="49" name="Imagem 48" descr="Speed">
          <a:extLst>
            <a:ext uri="{FF2B5EF4-FFF2-40B4-BE49-F238E27FC236}">
              <a16:creationId xmlns:a16="http://schemas.microsoft.com/office/drawing/2014/main" id="{55166727-D496-4D4D-A978-306B9A825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75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27</xdr:row>
      <xdr:rowOff>0</xdr:rowOff>
    </xdr:from>
    <xdr:ext cx="7620" cy="7620"/>
    <xdr:pic>
      <xdr:nvPicPr>
        <xdr:cNvPr id="50" name="Imagem 49" descr="Capacity">
          <a:extLst>
            <a:ext uri="{FF2B5EF4-FFF2-40B4-BE49-F238E27FC236}">
              <a16:creationId xmlns:a16="http://schemas.microsoft.com/office/drawing/2014/main" id="{0C171E6B-90F3-4FE3-98E4-B561555934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471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7620" cy="7620"/>
    <xdr:pic>
      <xdr:nvPicPr>
        <xdr:cNvPr id="51" name="Imagem 50" descr="Lumber">
          <a:extLst>
            <a:ext uri="{FF2B5EF4-FFF2-40B4-BE49-F238E27FC236}">
              <a16:creationId xmlns:a16="http://schemas.microsoft.com/office/drawing/2014/main" id="{A2A7947A-289C-4CFA-BDD2-2BC2FD958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567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0</xdr:colOff>
      <xdr:row>27</xdr:row>
      <xdr:rowOff>0</xdr:rowOff>
    </xdr:from>
    <xdr:ext cx="7620" cy="7620"/>
    <xdr:pic>
      <xdr:nvPicPr>
        <xdr:cNvPr id="52" name="Imagem 51" descr="Clay">
          <a:extLst>
            <a:ext uri="{FF2B5EF4-FFF2-40B4-BE49-F238E27FC236}">
              <a16:creationId xmlns:a16="http://schemas.microsoft.com/office/drawing/2014/main" id="{E7684441-585A-446E-8161-FDE0434B78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663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0</xdr:colOff>
      <xdr:row>27</xdr:row>
      <xdr:rowOff>0</xdr:rowOff>
    </xdr:from>
    <xdr:ext cx="7620" cy="7620"/>
    <xdr:pic>
      <xdr:nvPicPr>
        <xdr:cNvPr id="53" name="Imagem 52" descr="Iron">
          <a:extLst>
            <a:ext uri="{FF2B5EF4-FFF2-40B4-BE49-F238E27FC236}">
              <a16:creationId xmlns:a16="http://schemas.microsoft.com/office/drawing/2014/main" id="{20FAC7CB-95BD-4C24-85E2-E48C35FAD3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59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27</xdr:row>
      <xdr:rowOff>0</xdr:rowOff>
    </xdr:from>
    <xdr:ext cx="7620" cy="7620"/>
    <xdr:pic>
      <xdr:nvPicPr>
        <xdr:cNvPr id="54" name="Imagem 53" descr="Crop">
          <a:extLst>
            <a:ext uri="{FF2B5EF4-FFF2-40B4-BE49-F238E27FC236}">
              <a16:creationId xmlns:a16="http://schemas.microsoft.com/office/drawing/2014/main" id="{D78ABAD2-1BF8-4E62-A10E-1865C875F0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55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27</xdr:row>
      <xdr:rowOff>0</xdr:rowOff>
    </xdr:from>
    <xdr:ext cx="7620" cy="7620"/>
    <xdr:pic>
      <xdr:nvPicPr>
        <xdr:cNvPr id="55" name="Imagem 54" descr="Total cost">
          <a:extLst>
            <a:ext uri="{FF2B5EF4-FFF2-40B4-BE49-F238E27FC236}">
              <a16:creationId xmlns:a16="http://schemas.microsoft.com/office/drawing/2014/main" id="{1A90B974-A47F-4D37-A356-A6E51FAA45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951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27</xdr:row>
      <xdr:rowOff>0</xdr:rowOff>
    </xdr:from>
    <xdr:ext cx="7620" cy="7620"/>
    <xdr:pic>
      <xdr:nvPicPr>
        <xdr:cNvPr id="56" name="Imagem 55" descr="upkeep">
          <a:extLst>
            <a:ext uri="{FF2B5EF4-FFF2-40B4-BE49-F238E27FC236}">
              <a16:creationId xmlns:a16="http://schemas.microsoft.com/office/drawing/2014/main" id="{81B8FCE8-53C9-418F-8F76-2093CDD982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047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27</xdr:row>
      <xdr:rowOff>0</xdr:rowOff>
    </xdr:from>
    <xdr:ext cx="7620" cy="7620"/>
    <xdr:pic>
      <xdr:nvPicPr>
        <xdr:cNvPr id="57" name="Imagem 56" descr="Time">
          <a:extLst>
            <a:ext uri="{FF2B5EF4-FFF2-40B4-BE49-F238E27FC236}">
              <a16:creationId xmlns:a16="http://schemas.microsoft.com/office/drawing/2014/main" id="{550A199E-FEE0-407D-B0B3-D90F9DB54B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43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28</xdr:row>
      <xdr:rowOff>0</xdr:rowOff>
    </xdr:from>
    <xdr:ext cx="7620" cy="7620"/>
    <xdr:pic>
      <xdr:nvPicPr>
        <xdr:cNvPr id="58" name="Imagem 57">
          <a:extLst>
            <a:ext uri="{FF2B5EF4-FFF2-40B4-BE49-F238E27FC236}">
              <a16:creationId xmlns:a16="http://schemas.microsoft.com/office/drawing/2014/main" id="{3D596670-CE3F-4D30-9B06-FEFC722738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29</xdr:row>
      <xdr:rowOff>0</xdr:rowOff>
    </xdr:from>
    <xdr:ext cx="7620" cy="7620"/>
    <xdr:pic>
      <xdr:nvPicPr>
        <xdr:cNvPr id="59" name="Imagem 58">
          <a:extLst>
            <a:ext uri="{FF2B5EF4-FFF2-40B4-BE49-F238E27FC236}">
              <a16:creationId xmlns:a16="http://schemas.microsoft.com/office/drawing/2014/main" id="{14F7A88F-0F6A-43E6-9F57-C44AB9AFF9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15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30</xdr:row>
      <xdr:rowOff>0</xdr:rowOff>
    </xdr:from>
    <xdr:ext cx="7620" cy="7620"/>
    <xdr:pic>
      <xdr:nvPicPr>
        <xdr:cNvPr id="60" name="Imagem 59">
          <a:extLst>
            <a:ext uri="{FF2B5EF4-FFF2-40B4-BE49-F238E27FC236}">
              <a16:creationId xmlns:a16="http://schemas.microsoft.com/office/drawing/2014/main" id="{20742FF4-9F82-4319-BB8A-92BDF9E016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44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31</xdr:row>
      <xdr:rowOff>0</xdr:rowOff>
    </xdr:from>
    <xdr:ext cx="7620" cy="7620"/>
    <xdr:pic>
      <xdr:nvPicPr>
        <xdr:cNvPr id="61" name="Imagem 60">
          <a:extLst>
            <a:ext uri="{FF2B5EF4-FFF2-40B4-BE49-F238E27FC236}">
              <a16:creationId xmlns:a16="http://schemas.microsoft.com/office/drawing/2014/main" id="{E1B70D2A-FC81-41E1-BD26-0C7239333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972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32</xdr:row>
      <xdr:rowOff>0</xdr:rowOff>
    </xdr:from>
    <xdr:ext cx="7620" cy="7620"/>
    <xdr:pic>
      <xdr:nvPicPr>
        <xdr:cNvPr id="62" name="Imagem 61">
          <a:extLst>
            <a:ext uri="{FF2B5EF4-FFF2-40B4-BE49-F238E27FC236}">
              <a16:creationId xmlns:a16="http://schemas.microsoft.com/office/drawing/2014/main" id="{CFAB84DC-A3A2-4B33-8AB6-4F17030175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30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33</xdr:row>
      <xdr:rowOff>0</xdr:rowOff>
    </xdr:from>
    <xdr:ext cx="7620" cy="7620"/>
    <xdr:pic>
      <xdr:nvPicPr>
        <xdr:cNvPr id="63" name="Imagem 62">
          <a:extLst>
            <a:ext uri="{FF2B5EF4-FFF2-40B4-BE49-F238E27FC236}">
              <a16:creationId xmlns:a16="http://schemas.microsoft.com/office/drawing/2014/main" id="{77A47357-1C85-46C4-8287-35A747D1B0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288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34</xdr:row>
      <xdr:rowOff>0</xdr:rowOff>
    </xdr:from>
    <xdr:ext cx="7620" cy="7620"/>
    <xdr:pic>
      <xdr:nvPicPr>
        <xdr:cNvPr id="64" name="Imagem 63">
          <a:extLst>
            <a:ext uri="{FF2B5EF4-FFF2-40B4-BE49-F238E27FC236}">
              <a16:creationId xmlns:a16="http://schemas.microsoft.com/office/drawing/2014/main" id="{78CB4C76-DCD2-41B5-9EEF-DEC1F0E9DC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945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35</xdr:row>
      <xdr:rowOff>0</xdr:rowOff>
    </xdr:from>
    <xdr:ext cx="7620" cy="7620"/>
    <xdr:pic>
      <xdr:nvPicPr>
        <xdr:cNvPr id="65" name="Imagem 64">
          <a:extLst>
            <a:ext uri="{FF2B5EF4-FFF2-40B4-BE49-F238E27FC236}">
              <a16:creationId xmlns:a16="http://schemas.microsoft.com/office/drawing/2014/main" id="{26D0D6C8-3EB9-4895-8BCB-DE95EFD21A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74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36</xdr:row>
      <xdr:rowOff>0</xdr:rowOff>
    </xdr:from>
    <xdr:ext cx="7620" cy="7620"/>
    <xdr:pic>
      <xdr:nvPicPr>
        <xdr:cNvPr id="66" name="Imagem 65">
          <a:extLst>
            <a:ext uri="{FF2B5EF4-FFF2-40B4-BE49-F238E27FC236}">
              <a16:creationId xmlns:a16="http://schemas.microsoft.com/office/drawing/2014/main" id="{78ADD979-B0BA-453D-A0FF-29177BEAEF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603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37</xdr:row>
      <xdr:rowOff>0</xdr:rowOff>
    </xdr:from>
    <xdr:ext cx="7620" cy="7620"/>
    <xdr:pic>
      <xdr:nvPicPr>
        <xdr:cNvPr id="67" name="Imagem 66">
          <a:extLst>
            <a:ext uri="{FF2B5EF4-FFF2-40B4-BE49-F238E27FC236}">
              <a16:creationId xmlns:a16="http://schemas.microsoft.com/office/drawing/2014/main" id="{3A174DE4-E070-4CB1-872D-49DEBF248B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3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40</xdr:row>
      <xdr:rowOff>0</xdr:rowOff>
    </xdr:from>
    <xdr:ext cx="7620" cy="7620"/>
    <xdr:pic>
      <xdr:nvPicPr>
        <xdr:cNvPr id="68" name="Imagem 67" descr="offense">
          <a:extLst>
            <a:ext uri="{FF2B5EF4-FFF2-40B4-BE49-F238E27FC236}">
              <a16:creationId xmlns:a16="http://schemas.microsoft.com/office/drawing/2014/main" id="{D9FC0B9D-3DEC-4E81-848E-CC567ECE84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087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40</xdr:row>
      <xdr:rowOff>0</xdr:rowOff>
    </xdr:from>
    <xdr:ext cx="7620" cy="7620"/>
    <xdr:pic>
      <xdr:nvPicPr>
        <xdr:cNvPr id="69" name="Imagem 68" descr="Defense value against infantry">
          <a:extLst>
            <a:ext uri="{FF2B5EF4-FFF2-40B4-BE49-F238E27FC236}">
              <a16:creationId xmlns:a16="http://schemas.microsoft.com/office/drawing/2014/main" id="{6D26D7E2-A70C-4CD7-A84E-FDC4D02DA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183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40</xdr:row>
      <xdr:rowOff>0</xdr:rowOff>
    </xdr:from>
    <xdr:ext cx="7620" cy="7620"/>
    <xdr:pic>
      <xdr:nvPicPr>
        <xdr:cNvPr id="70" name="Imagem 69" descr="Defense value against cavalry">
          <a:extLst>
            <a:ext uri="{FF2B5EF4-FFF2-40B4-BE49-F238E27FC236}">
              <a16:creationId xmlns:a16="http://schemas.microsoft.com/office/drawing/2014/main" id="{A2740D61-B5BF-4E85-8607-B7DF8E9034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79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0</xdr:colOff>
      <xdr:row>40</xdr:row>
      <xdr:rowOff>0</xdr:rowOff>
    </xdr:from>
    <xdr:ext cx="7620" cy="7620"/>
    <xdr:pic>
      <xdr:nvPicPr>
        <xdr:cNvPr id="71" name="Imagem 70" descr="Speed">
          <a:extLst>
            <a:ext uri="{FF2B5EF4-FFF2-40B4-BE49-F238E27FC236}">
              <a16:creationId xmlns:a16="http://schemas.microsoft.com/office/drawing/2014/main" id="{8095FD53-5DAB-4BF4-ABD3-553E4BCFDC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75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40</xdr:row>
      <xdr:rowOff>0</xdr:rowOff>
    </xdr:from>
    <xdr:ext cx="7620" cy="7620"/>
    <xdr:pic>
      <xdr:nvPicPr>
        <xdr:cNvPr id="72" name="Imagem 71" descr="Capacity">
          <a:extLst>
            <a:ext uri="{FF2B5EF4-FFF2-40B4-BE49-F238E27FC236}">
              <a16:creationId xmlns:a16="http://schemas.microsoft.com/office/drawing/2014/main" id="{F6A38DE1-7F10-462A-A3E6-D742B15C3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471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7620" cy="7620"/>
    <xdr:pic>
      <xdr:nvPicPr>
        <xdr:cNvPr id="73" name="Imagem 72" descr="Lumber">
          <a:extLst>
            <a:ext uri="{FF2B5EF4-FFF2-40B4-BE49-F238E27FC236}">
              <a16:creationId xmlns:a16="http://schemas.microsoft.com/office/drawing/2014/main" id="{B32DF978-5168-4FA5-8A6B-A63EF78D97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567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8</xdr:col>
      <xdr:colOff>0</xdr:colOff>
      <xdr:row>40</xdr:row>
      <xdr:rowOff>0</xdr:rowOff>
    </xdr:from>
    <xdr:ext cx="7620" cy="7620"/>
    <xdr:pic>
      <xdr:nvPicPr>
        <xdr:cNvPr id="74" name="Imagem 73" descr="Clay">
          <a:extLst>
            <a:ext uri="{FF2B5EF4-FFF2-40B4-BE49-F238E27FC236}">
              <a16:creationId xmlns:a16="http://schemas.microsoft.com/office/drawing/2014/main" id="{C492F406-C603-4357-807E-C9A98F5EBB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663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0</xdr:colOff>
      <xdr:row>40</xdr:row>
      <xdr:rowOff>0</xdr:rowOff>
    </xdr:from>
    <xdr:ext cx="7620" cy="7620"/>
    <xdr:pic>
      <xdr:nvPicPr>
        <xdr:cNvPr id="75" name="Imagem 74" descr="Iron">
          <a:extLst>
            <a:ext uri="{FF2B5EF4-FFF2-40B4-BE49-F238E27FC236}">
              <a16:creationId xmlns:a16="http://schemas.microsoft.com/office/drawing/2014/main" id="{4DF8663F-444E-4C98-8878-AF7342440B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59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10</xdr:col>
      <xdr:colOff>0</xdr:colOff>
      <xdr:row>40</xdr:row>
      <xdr:rowOff>0</xdr:rowOff>
    </xdr:from>
    <xdr:ext cx="7620" cy="7620"/>
    <xdr:pic>
      <xdr:nvPicPr>
        <xdr:cNvPr id="76" name="Imagem 75" descr="Crop">
          <a:extLst>
            <a:ext uri="{FF2B5EF4-FFF2-40B4-BE49-F238E27FC236}">
              <a16:creationId xmlns:a16="http://schemas.microsoft.com/office/drawing/2014/main" id="{BAC95069-3155-4D2D-B7E7-3D477DFAEE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55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40</xdr:row>
      <xdr:rowOff>0</xdr:rowOff>
    </xdr:from>
    <xdr:ext cx="7620" cy="7620"/>
    <xdr:pic>
      <xdr:nvPicPr>
        <xdr:cNvPr id="77" name="Imagem 76" descr="Total cost">
          <a:extLst>
            <a:ext uri="{FF2B5EF4-FFF2-40B4-BE49-F238E27FC236}">
              <a16:creationId xmlns:a16="http://schemas.microsoft.com/office/drawing/2014/main" id="{7BFC107C-EC51-4E10-A05E-3907C2E585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951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11</xdr:col>
      <xdr:colOff>0</xdr:colOff>
      <xdr:row>40</xdr:row>
      <xdr:rowOff>0</xdr:rowOff>
    </xdr:from>
    <xdr:ext cx="7620" cy="7620"/>
    <xdr:pic>
      <xdr:nvPicPr>
        <xdr:cNvPr id="78" name="Imagem 77" descr="upkeep">
          <a:extLst>
            <a:ext uri="{FF2B5EF4-FFF2-40B4-BE49-F238E27FC236}">
              <a16:creationId xmlns:a16="http://schemas.microsoft.com/office/drawing/2014/main" id="{944C77C9-9AA0-4FEF-B199-99E17BA10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047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40</xdr:row>
      <xdr:rowOff>0</xdr:rowOff>
    </xdr:from>
    <xdr:ext cx="7620" cy="7620"/>
    <xdr:pic>
      <xdr:nvPicPr>
        <xdr:cNvPr id="79" name="Imagem 78" descr="Time">
          <a:extLst>
            <a:ext uri="{FF2B5EF4-FFF2-40B4-BE49-F238E27FC236}">
              <a16:creationId xmlns:a16="http://schemas.microsoft.com/office/drawing/2014/main" id="{77D8F9A2-34D8-41E4-B2A7-69D110BAF5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43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41</xdr:row>
      <xdr:rowOff>0</xdr:rowOff>
    </xdr:from>
    <xdr:ext cx="7620" cy="7620"/>
    <xdr:pic>
      <xdr:nvPicPr>
        <xdr:cNvPr id="80" name="Imagem 79">
          <a:extLst>
            <a:ext uri="{FF2B5EF4-FFF2-40B4-BE49-F238E27FC236}">
              <a16:creationId xmlns:a16="http://schemas.microsoft.com/office/drawing/2014/main" id="{FFEBCA43-79F8-40D0-AFBD-0B06923B3F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42</xdr:row>
      <xdr:rowOff>0</xdr:rowOff>
    </xdr:from>
    <xdr:ext cx="7620" cy="7620"/>
    <xdr:pic>
      <xdr:nvPicPr>
        <xdr:cNvPr id="81" name="Imagem 80">
          <a:extLst>
            <a:ext uri="{FF2B5EF4-FFF2-40B4-BE49-F238E27FC236}">
              <a16:creationId xmlns:a16="http://schemas.microsoft.com/office/drawing/2014/main" id="{11904B4C-35D9-4E75-96AA-23BA199EC8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15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43</xdr:row>
      <xdr:rowOff>0</xdr:rowOff>
    </xdr:from>
    <xdr:ext cx="7620" cy="7620"/>
    <xdr:pic>
      <xdr:nvPicPr>
        <xdr:cNvPr id="82" name="Imagem 81">
          <a:extLst>
            <a:ext uri="{FF2B5EF4-FFF2-40B4-BE49-F238E27FC236}">
              <a16:creationId xmlns:a16="http://schemas.microsoft.com/office/drawing/2014/main" id="{10C94F06-EA93-4AF6-865D-9DCFB428A6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44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44</xdr:row>
      <xdr:rowOff>0</xdr:rowOff>
    </xdr:from>
    <xdr:ext cx="7620" cy="7620"/>
    <xdr:pic>
      <xdr:nvPicPr>
        <xdr:cNvPr id="83" name="Imagem 82">
          <a:extLst>
            <a:ext uri="{FF2B5EF4-FFF2-40B4-BE49-F238E27FC236}">
              <a16:creationId xmlns:a16="http://schemas.microsoft.com/office/drawing/2014/main" id="{77419CD3-86A0-4E03-9FE5-BE450F19C4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972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45</xdr:row>
      <xdr:rowOff>0</xdr:rowOff>
    </xdr:from>
    <xdr:ext cx="7620" cy="7620"/>
    <xdr:pic>
      <xdr:nvPicPr>
        <xdr:cNvPr id="84" name="Imagem 83">
          <a:extLst>
            <a:ext uri="{FF2B5EF4-FFF2-40B4-BE49-F238E27FC236}">
              <a16:creationId xmlns:a16="http://schemas.microsoft.com/office/drawing/2014/main" id="{71BA7FA3-532F-47E6-9CF0-A625FCD280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30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46</xdr:row>
      <xdr:rowOff>0</xdr:rowOff>
    </xdr:from>
    <xdr:ext cx="7620" cy="7620"/>
    <xdr:pic>
      <xdr:nvPicPr>
        <xdr:cNvPr id="85" name="Imagem 84">
          <a:extLst>
            <a:ext uri="{FF2B5EF4-FFF2-40B4-BE49-F238E27FC236}">
              <a16:creationId xmlns:a16="http://schemas.microsoft.com/office/drawing/2014/main" id="{356421DC-03D0-44CA-813A-06C22D69CA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288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47</xdr:row>
      <xdr:rowOff>0</xdr:rowOff>
    </xdr:from>
    <xdr:ext cx="7620" cy="7620"/>
    <xdr:pic>
      <xdr:nvPicPr>
        <xdr:cNvPr id="86" name="Imagem 85">
          <a:extLst>
            <a:ext uri="{FF2B5EF4-FFF2-40B4-BE49-F238E27FC236}">
              <a16:creationId xmlns:a16="http://schemas.microsoft.com/office/drawing/2014/main" id="{E86AC8F9-0257-4D1E-86C3-7626F6FDE3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945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48</xdr:row>
      <xdr:rowOff>0</xdr:rowOff>
    </xdr:from>
    <xdr:ext cx="7620" cy="7620"/>
    <xdr:pic>
      <xdr:nvPicPr>
        <xdr:cNvPr id="87" name="Imagem 86">
          <a:extLst>
            <a:ext uri="{FF2B5EF4-FFF2-40B4-BE49-F238E27FC236}">
              <a16:creationId xmlns:a16="http://schemas.microsoft.com/office/drawing/2014/main" id="{48101563-95BC-4673-956E-853F4E740E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74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49</xdr:row>
      <xdr:rowOff>0</xdr:rowOff>
    </xdr:from>
    <xdr:ext cx="7620" cy="7620"/>
    <xdr:pic>
      <xdr:nvPicPr>
        <xdr:cNvPr id="88" name="Imagem 87">
          <a:extLst>
            <a:ext uri="{FF2B5EF4-FFF2-40B4-BE49-F238E27FC236}">
              <a16:creationId xmlns:a16="http://schemas.microsoft.com/office/drawing/2014/main" id="{39850387-C1E1-4F17-9908-5B3B81D76F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603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50</xdr:row>
      <xdr:rowOff>0</xdr:rowOff>
    </xdr:from>
    <xdr:ext cx="7620" cy="7620"/>
    <xdr:pic>
      <xdr:nvPicPr>
        <xdr:cNvPr id="89" name="Imagem 88">
          <a:extLst>
            <a:ext uri="{FF2B5EF4-FFF2-40B4-BE49-F238E27FC236}">
              <a16:creationId xmlns:a16="http://schemas.microsoft.com/office/drawing/2014/main" id="{6FD459EA-6F99-4B85-9C30-7754E130A5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3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0</xdr:colOff>
      <xdr:row>15</xdr:row>
      <xdr:rowOff>0</xdr:rowOff>
    </xdr:from>
    <xdr:to>
      <xdr:col>0</xdr:col>
      <xdr:colOff>7620</xdr:colOff>
      <xdr:row>15</xdr:row>
      <xdr:rowOff>7620</xdr:rowOff>
    </xdr:to>
    <xdr:pic>
      <xdr:nvPicPr>
        <xdr:cNvPr id="90" name="Imagem 89">
          <a:extLst>
            <a:ext uri="{FF2B5EF4-FFF2-40B4-BE49-F238E27FC236}">
              <a16:creationId xmlns:a16="http://schemas.microsoft.com/office/drawing/2014/main" id="{E0A8F986-7F5B-878E-5C42-A784925D17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3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7620</xdr:colOff>
      <xdr:row>16</xdr:row>
      <xdr:rowOff>7620</xdr:rowOff>
    </xdr:to>
    <xdr:pic>
      <xdr:nvPicPr>
        <xdr:cNvPr id="91" name="Imagem 90">
          <a:extLst>
            <a:ext uri="{FF2B5EF4-FFF2-40B4-BE49-F238E27FC236}">
              <a16:creationId xmlns:a16="http://schemas.microsoft.com/office/drawing/2014/main" id="{B5D61BC5-5194-4689-3A4C-F4CFBDF764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260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7620</xdr:colOff>
      <xdr:row>17</xdr:row>
      <xdr:rowOff>7620</xdr:rowOff>
    </xdr:to>
    <xdr:pic>
      <xdr:nvPicPr>
        <xdr:cNvPr id="92" name="Imagem 91">
          <a:extLst>
            <a:ext uri="{FF2B5EF4-FFF2-40B4-BE49-F238E27FC236}">
              <a16:creationId xmlns:a16="http://schemas.microsoft.com/office/drawing/2014/main" id="{F3E123DF-944C-0A8B-6E9D-A3C13BF79D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089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7620</xdr:colOff>
      <xdr:row>18</xdr:row>
      <xdr:rowOff>7620</xdr:rowOff>
    </xdr:to>
    <xdr:pic>
      <xdr:nvPicPr>
        <xdr:cNvPr id="93" name="Imagem 92">
          <a:extLst>
            <a:ext uri="{FF2B5EF4-FFF2-40B4-BE49-F238E27FC236}">
              <a16:creationId xmlns:a16="http://schemas.microsoft.com/office/drawing/2014/main" id="{EAA0AE9F-F8A4-4353-6D03-470E9DE78A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747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7620</xdr:colOff>
      <xdr:row>19</xdr:row>
      <xdr:rowOff>7620</xdr:rowOff>
    </xdr:to>
    <xdr:pic>
      <xdr:nvPicPr>
        <xdr:cNvPr id="94" name="Imagem 93">
          <a:extLst>
            <a:ext uri="{FF2B5EF4-FFF2-40B4-BE49-F238E27FC236}">
              <a16:creationId xmlns:a16="http://schemas.microsoft.com/office/drawing/2014/main" id="{DD8CE996-672A-35DF-7536-8350B6C63D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404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7620</xdr:colOff>
      <xdr:row>20</xdr:row>
      <xdr:rowOff>7620</xdr:rowOff>
    </xdr:to>
    <xdr:pic>
      <xdr:nvPicPr>
        <xdr:cNvPr id="95" name="Imagem 94">
          <a:extLst>
            <a:ext uri="{FF2B5EF4-FFF2-40B4-BE49-F238E27FC236}">
              <a16:creationId xmlns:a16="http://schemas.microsoft.com/office/drawing/2014/main" id="{3BF5B4F8-28C6-31D2-54A1-63F5B98DC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233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7620</xdr:colOff>
      <xdr:row>21</xdr:row>
      <xdr:rowOff>7620</xdr:rowOff>
    </xdr:to>
    <xdr:pic>
      <xdr:nvPicPr>
        <xdr:cNvPr id="96" name="Imagem 95">
          <a:extLst>
            <a:ext uri="{FF2B5EF4-FFF2-40B4-BE49-F238E27FC236}">
              <a16:creationId xmlns:a16="http://schemas.microsoft.com/office/drawing/2014/main" id="{7184A9A1-857B-FD0B-8E52-2FB60BAED0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891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7620</xdr:colOff>
      <xdr:row>22</xdr:row>
      <xdr:rowOff>7620</xdr:rowOff>
    </xdr:to>
    <xdr:pic>
      <xdr:nvPicPr>
        <xdr:cNvPr id="97" name="Imagem 96">
          <a:extLst>
            <a:ext uri="{FF2B5EF4-FFF2-40B4-BE49-F238E27FC236}">
              <a16:creationId xmlns:a16="http://schemas.microsoft.com/office/drawing/2014/main" id="{17C75465-41EE-EFE6-4F76-3C0DEBCD69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72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7620</xdr:colOff>
      <xdr:row>23</xdr:row>
      <xdr:rowOff>7620</xdr:rowOff>
    </xdr:to>
    <xdr:pic>
      <xdr:nvPicPr>
        <xdr:cNvPr id="98" name="Imagem 97">
          <a:extLst>
            <a:ext uri="{FF2B5EF4-FFF2-40B4-BE49-F238E27FC236}">
              <a16:creationId xmlns:a16="http://schemas.microsoft.com/office/drawing/2014/main" id="{AF13CA3D-4CC5-38C9-8E3B-2C9CB1C4EE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54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7620</xdr:colOff>
      <xdr:row>24</xdr:row>
      <xdr:rowOff>7620</xdr:rowOff>
    </xdr:to>
    <xdr:pic>
      <xdr:nvPicPr>
        <xdr:cNvPr id="99" name="Imagem 98">
          <a:extLst>
            <a:ext uri="{FF2B5EF4-FFF2-40B4-BE49-F238E27FC236}">
              <a16:creationId xmlns:a16="http://schemas.microsoft.com/office/drawing/2014/main" id="{593AD3CF-AB43-8A18-3E48-940164AA0A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37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7620</xdr:colOff>
      <xdr:row>28</xdr:row>
      <xdr:rowOff>7620</xdr:rowOff>
    </xdr:to>
    <xdr:pic>
      <xdr:nvPicPr>
        <xdr:cNvPr id="100" name="Imagem 99">
          <a:extLst>
            <a:ext uri="{FF2B5EF4-FFF2-40B4-BE49-F238E27FC236}">
              <a16:creationId xmlns:a16="http://schemas.microsoft.com/office/drawing/2014/main" id="{4970E713-9F44-00D5-E9D4-ACE3FC2AD3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206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7620</xdr:colOff>
      <xdr:row>29</xdr:row>
      <xdr:rowOff>7620</xdr:rowOff>
    </xdr:to>
    <xdr:pic>
      <xdr:nvPicPr>
        <xdr:cNvPr id="101" name="Imagem 100">
          <a:extLst>
            <a:ext uri="{FF2B5EF4-FFF2-40B4-BE49-F238E27FC236}">
              <a16:creationId xmlns:a16="http://schemas.microsoft.com/office/drawing/2014/main" id="{4A64F6B5-0285-0D5E-A4F1-1CC08B1B38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035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7620</xdr:colOff>
      <xdr:row>30</xdr:row>
      <xdr:rowOff>7620</xdr:rowOff>
    </xdr:to>
    <xdr:pic>
      <xdr:nvPicPr>
        <xdr:cNvPr id="102" name="Imagem 101">
          <a:extLst>
            <a:ext uri="{FF2B5EF4-FFF2-40B4-BE49-F238E27FC236}">
              <a16:creationId xmlns:a16="http://schemas.microsoft.com/office/drawing/2014/main" id="{0656E0F5-8AB9-202C-43D8-F4953273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864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7620</xdr:colOff>
      <xdr:row>31</xdr:row>
      <xdr:rowOff>7620</xdr:rowOff>
    </xdr:to>
    <xdr:pic>
      <xdr:nvPicPr>
        <xdr:cNvPr id="103" name="Imagem 102">
          <a:extLst>
            <a:ext uri="{FF2B5EF4-FFF2-40B4-BE49-F238E27FC236}">
              <a16:creationId xmlns:a16="http://schemas.microsoft.com/office/drawing/2014/main" id="{3DB5A569-8739-9541-31CB-5803566D6C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692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7620</xdr:colOff>
      <xdr:row>32</xdr:row>
      <xdr:rowOff>7620</xdr:rowOff>
    </xdr:to>
    <xdr:pic>
      <xdr:nvPicPr>
        <xdr:cNvPr id="104" name="Imagem 103">
          <a:extLst>
            <a:ext uri="{FF2B5EF4-FFF2-40B4-BE49-F238E27FC236}">
              <a16:creationId xmlns:a16="http://schemas.microsoft.com/office/drawing/2014/main" id="{834363E3-1D9E-2F68-CDCD-8A45CBFD8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521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7620</xdr:colOff>
      <xdr:row>33</xdr:row>
      <xdr:rowOff>7620</xdr:rowOff>
    </xdr:to>
    <xdr:pic>
      <xdr:nvPicPr>
        <xdr:cNvPr id="105" name="Imagem 104">
          <a:extLst>
            <a:ext uri="{FF2B5EF4-FFF2-40B4-BE49-F238E27FC236}">
              <a16:creationId xmlns:a16="http://schemas.microsoft.com/office/drawing/2014/main" id="{7C867A7F-4F89-4765-91A0-100A12167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350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7620</xdr:colOff>
      <xdr:row>34</xdr:row>
      <xdr:rowOff>7620</xdr:rowOff>
    </xdr:to>
    <xdr:pic>
      <xdr:nvPicPr>
        <xdr:cNvPr id="106" name="Imagem 105">
          <a:extLst>
            <a:ext uri="{FF2B5EF4-FFF2-40B4-BE49-F238E27FC236}">
              <a16:creationId xmlns:a16="http://schemas.microsoft.com/office/drawing/2014/main" id="{D8A5CEF1-EDBB-8CCC-E640-BB47725A2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179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7620</xdr:colOff>
      <xdr:row>35</xdr:row>
      <xdr:rowOff>7620</xdr:rowOff>
    </xdr:to>
    <xdr:pic>
      <xdr:nvPicPr>
        <xdr:cNvPr id="107" name="Imagem 106">
          <a:extLst>
            <a:ext uri="{FF2B5EF4-FFF2-40B4-BE49-F238E27FC236}">
              <a16:creationId xmlns:a16="http://schemas.microsoft.com/office/drawing/2014/main" id="{61E7AE9D-BE7B-B56E-B580-C7267B3C98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008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7620</xdr:colOff>
      <xdr:row>36</xdr:row>
      <xdr:rowOff>7620</xdr:rowOff>
    </xdr:to>
    <xdr:pic>
      <xdr:nvPicPr>
        <xdr:cNvPr id="108" name="Imagem 107">
          <a:extLst>
            <a:ext uri="{FF2B5EF4-FFF2-40B4-BE49-F238E27FC236}">
              <a16:creationId xmlns:a16="http://schemas.microsoft.com/office/drawing/2014/main" id="{FC518CE4-3320-24B0-689E-2AE50919B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836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7620</xdr:colOff>
      <xdr:row>37</xdr:row>
      <xdr:rowOff>7620</xdr:rowOff>
    </xdr:to>
    <xdr:pic>
      <xdr:nvPicPr>
        <xdr:cNvPr id="109" name="Imagem 108">
          <a:extLst>
            <a:ext uri="{FF2B5EF4-FFF2-40B4-BE49-F238E27FC236}">
              <a16:creationId xmlns:a16="http://schemas.microsoft.com/office/drawing/2014/main" id="{CEF580AC-E039-7B00-F2AC-B9C45C948C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665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7620</xdr:colOff>
      <xdr:row>41</xdr:row>
      <xdr:rowOff>7620</xdr:rowOff>
    </xdr:to>
    <xdr:pic>
      <xdr:nvPicPr>
        <xdr:cNvPr id="110" name="Imagem 109">
          <a:extLst>
            <a:ext uri="{FF2B5EF4-FFF2-40B4-BE49-F238E27FC236}">
              <a16:creationId xmlns:a16="http://schemas.microsoft.com/office/drawing/2014/main" id="{65EC1F6D-E209-DD80-CAC9-B6AB74F6C4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980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7620</xdr:colOff>
      <xdr:row>42</xdr:row>
      <xdr:rowOff>7620</xdr:rowOff>
    </xdr:to>
    <xdr:pic>
      <xdr:nvPicPr>
        <xdr:cNvPr id="111" name="Imagem 110">
          <a:extLst>
            <a:ext uri="{FF2B5EF4-FFF2-40B4-BE49-F238E27FC236}">
              <a16:creationId xmlns:a16="http://schemas.microsoft.com/office/drawing/2014/main" id="{89EE553D-3837-6E21-DC88-BE47720D17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809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7620</xdr:colOff>
      <xdr:row>43</xdr:row>
      <xdr:rowOff>7620</xdr:rowOff>
    </xdr:to>
    <xdr:pic>
      <xdr:nvPicPr>
        <xdr:cNvPr id="112" name="Imagem 111">
          <a:extLst>
            <a:ext uri="{FF2B5EF4-FFF2-40B4-BE49-F238E27FC236}">
              <a16:creationId xmlns:a16="http://schemas.microsoft.com/office/drawing/2014/main" id="{130CC0BD-B47A-856F-1A23-75EC5C5AE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638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7620</xdr:colOff>
      <xdr:row>44</xdr:row>
      <xdr:rowOff>7620</xdr:rowOff>
    </xdr:to>
    <xdr:pic>
      <xdr:nvPicPr>
        <xdr:cNvPr id="113" name="Imagem 112">
          <a:extLst>
            <a:ext uri="{FF2B5EF4-FFF2-40B4-BE49-F238E27FC236}">
              <a16:creationId xmlns:a16="http://schemas.microsoft.com/office/drawing/2014/main" id="{0ED1D911-6E6E-FE1D-6168-C796A0032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467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7620</xdr:colOff>
      <xdr:row>45</xdr:row>
      <xdr:rowOff>7620</xdr:rowOff>
    </xdr:to>
    <xdr:pic>
      <xdr:nvPicPr>
        <xdr:cNvPr id="114" name="Imagem 113">
          <a:extLst>
            <a:ext uri="{FF2B5EF4-FFF2-40B4-BE49-F238E27FC236}">
              <a16:creationId xmlns:a16="http://schemas.microsoft.com/office/drawing/2014/main" id="{A937582E-0649-8793-93F3-1596A3BD4E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296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7620</xdr:colOff>
      <xdr:row>46</xdr:row>
      <xdr:rowOff>7620</xdr:rowOff>
    </xdr:to>
    <xdr:pic>
      <xdr:nvPicPr>
        <xdr:cNvPr id="115" name="Imagem 114">
          <a:extLst>
            <a:ext uri="{FF2B5EF4-FFF2-40B4-BE49-F238E27FC236}">
              <a16:creationId xmlns:a16="http://schemas.microsoft.com/office/drawing/2014/main" id="{7722596F-F969-8BC0-B906-EA91599FAD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124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7620</xdr:colOff>
      <xdr:row>47</xdr:row>
      <xdr:rowOff>7620</xdr:rowOff>
    </xdr:to>
    <xdr:pic>
      <xdr:nvPicPr>
        <xdr:cNvPr id="116" name="Imagem 115">
          <a:extLst>
            <a:ext uri="{FF2B5EF4-FFF2-40B4-BE49-F238E27FC236}">
              <a16:creationId xmlns:a16="http://schemas.microsoft.com/office/drawing/2014/main" id="{C20E0870-7BEF-64A6-2915-684F19490B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953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7620</xdr:colOff>
      <xdr:row>48</xdr:row>
      <xdr:rowOff>7620</xdr:rowOff>
    </xdr:to>
    <xdr:pic>
      <xdr:nvPicPr>
        <xdr:cNvPr id="117" name="Imagem 116">
          <a:extLst>
            <a:ext uri="{FF2B5EF4-FFF2-40B4-BE49-F238E27FC236}">
              <a16:creationId xmlns:a16="http://schemas.microsoft.com/office/drawing/2014/main" id="{4B2D46CA-CA9C-7D16-6666-2A3DDFABD9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782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7620</xdr:colOff>
      <xdr:row>49</xdr:row>
      <xdr:rowOff>7620</xdr:rowOff>
    </xdr:to>
    <xdr:pic>
      <xdr:nvPicPr>
        <xdr:cNvPr id="118" name="Imagem 117">
          <a:extLst>
            <a:ext uri="{FF2B5EF4-FFF2-40B4-BE49-F238E27FC236}">
              <a16:creationId xmlns:a16="http://schemas.microsoft.com/office/drawing/2014/main" id="{86E96ABA-ECE6-642A-083E-1009E04579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611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7620</xdr:colOff>
      <xdr:row>50</xdr:row>
      <xdr:rowOff>7620</xdr:rowOff>
    </xdr:to>
    <xdr:pic>
      <xdr:nvPicPr>
        <xdr:cNvPr id="119" name="Imagem 118">
          <a:extLst>
            <a:ext uri="{FF2B5EF4-FFF2-40B4-BE49-F238E27FC236}">
              <a16:creationId xmlns:a16="http://schemas.microsoft.com/office/drawing/2014/main" id="{BAAACC85-42A3-1CBB-2A4E-22066E7E2D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44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0</xdr:colOff>
      <xdr:row>5</xdr:row>
      <xdr:rowOff>0</xdr:rowOff>
    </xdr:from>
    <xdr:ext cx="7620" cy="7620"/>
    <xdr:pic>
      <xdr:nvPicPr>
        <xdr:cNvPr id="120" name="Imagem 119">
          <a:extLst>
            <a:ext uri="{FF2B5EF4-FFF2-40B4-BE49-F238E27FC236}">
              <a16:creationId xmlns:a16="http://schemas.microsoft.com/office/drawing/2014/main" id="{656CB8F9-5BC6-4BCD-BC6B-2932F254E0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6</xdr:row>
      <xdr:rowOff>0</xdr:rowOff>
    </xdr:from>
    <xdr:ext cx="7620" cy="7620"/>
    <xdr:pic>
      <xdr:nvPicPr>
        <xdr:cNvPr id="121" name="Imagem 120">
          <a:extLst>
            <a:ext uri="{FF2B5EF4-FFF2-40B4-BE49-F238E27FC236}">
              <a16:creationId xmlns:a16="http://schemas.microsoft.com/office/drawing/2014/main" id="{E15A0375-9E90-47FA-B011-A56A3E6DD0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86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7</xdr:row>
      <xdr:rowOff>0</xdr:rowOff>
    </xdr:from>
    <xdr:ext cx="7620" cy="7620"/>
    <xdr:pic>
      <xdr:nvPicPr>
        <xdr:cNvPr id="122" name="Imagem 121">
          <a:extLst>
            <a:ext uri="{FF2B5EF4-FFF2-40B4-BE49-F238E27FC236}">
              <a16:creationId xmlns:a16="http://schemas.microsoft.com/office/drawing/2014/main" id="{79D51EBC-F96B-4575-B38D-C22AF5265F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15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8</xdr:row>
      <xdr:rowOff>0</xdr:rowOff>
    </xdr:from>
    <xdr:ext cx="7620" cy="7620"/>
    <xdr:pic>
      <xdr:nvPicPr>
        <xdr:cNvPr id="123" name="Imagem 122">
          <a:extLst>
            <a:ext uri="{FF2B5EF4-FFF2-40B4-BE49-F238E27FC236}">
              <a16:creationId xmlns:a16="http://schemas.microsoft.com/office/drawing/2014/main" id="{2E7E06D9-4CC5-4159-BF6F-002BE9BDA6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9</xdr:row>
      <xdr:rowOff>0</xdr:rowOff>
    </xdr:from>
    <xdr:ext cx="7620" cy="7620"/>
    <xdr:pic>
      <xdr:nvPicPr>
        <xdr:cNvPr id="124" name="Imagem 123">
          <a:extLst>
            <a:ext uri="{FF2B5EF4-FFF2-40B4-BE49-F238E27FC236}">
              <a16:creationId xmlns:a16="http://schemas.microsoft.com/office/drawing/2014/main" id="{E8831CF4-2CD1-4DAA-B876-4D392FF63F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86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10</xdr:row>
      <xdr:rowOff>0</xdr:rowOff>
    </xdr:from>
    <xdr:ext cx="7620" cy="7620"/>
    <xdr:pic>
      <xdr:nvPicPr>
        <xdr:cNvPr id="125" name="Imagem 124">
          <a:extLst>
            <a:ext uri="{FF2B5EF4-FFF2-40B4-BE49-F238E27FC236}">
              <a16:creationId xmlns:a16="http://schemas.microsoft.com/office/drawing/2014/main" id="{6C4D6317-CFD6-46C4-9579-7A0D89C0A9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15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18</xdr:row>
      <xdr:rowOff>0</xdr:rowOff>
    </xdr:from>
    <xdr:ext cx="7620" cy="7620"/>
    <xdr:pic>
      <xdr:nvPicPr>
        <xdr:cNvPr id="126" name="Imagem 125">
          <a:extLst>
            <a:ext uri="{FF2B5EF4-FFF2-40B4-BE49-F238E27FC236}">
              <a16:creationId xmlns:a16="http://schemas.microsoft.com/office/drawing/2014/main" id="{F37B60B6-9A72-48DF-B494-07ABE67FFD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3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19</xdr:row>
      <xdr:rowOff>0</xdr:rowOff>
    </xdr:from>
    <xdr:ext cx="7620" cy="7620"/>
    <xdr:pic>
      <xdr:nvPicPr>
        <xdr:cNvPr id="127" name="Imagem 126">
          <a:extLst>
            <a:ext uri="{FF2B5EF4-FFF2-40B4-BE49-F238E27FC236}">
              <a16:creationId xmlns:a16="http://schemas.microsoft.com/office/drawing/2014/main" id="{37274A39-4D7E-4392-940D-62EB1CF1E5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260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20</xdr:row>
      <xdr:rowOff>0</xdr:rowOff>
    </xdr:from>
    <xdr:ext cx="7620" cy="7620"/>
    <xdr:pic>
      <xdr:nvPicPr>
        <xdr:cNvPr id="128" name="Imagem 127">
          <a:extLst>
            <a:ext uri="{FF2B5EF4-FFF2-40B4-BE49-F238E27FC236}">
              <a16:creationId xmlns:a16="http://schemas.microsoft.com/office/drawing/2014/main" id="{62DFE9E3-384B-4C26-BB40-855ED9BDA8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089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18</xdr:row>
      <xdr:rowOff>0</xdr:rowOff>
    </xdr:from>
    <xdr:ext cx="7620" cy="7620"/>
    <xdr:pic>
      <xdr:nvPicPr>
        <xdr:cNvPr id="129" name="Imagem 128">
          <a:extLst>
            <a:ext uri="{FF2B5EF4-FFF2-40B4-BE49-F238E27FC236}">
              <a16:creationId xmlns:a16="http://schemas.microsoft.com/office/drawing/2014/main" id="{6ACD4FBC-4668-48BF-8496-6509803EA0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3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19</xdr:row>
      <xdr:rowOff>0</xdr:rowOff>
    </xdr:from>
    <xdr:ext cx="7620" cy="7620"/>
    <xdr:pic>
      <xdr:nvPicPr>
        <xdr:cNvPr id="130" name="Imagem 129">
          <a:extLst>
            <a:ext uri="{FF2B5EF4-FFF2-40B4-BE49-F238E27FC236}">
              <a16:creationId xmlns:a16="http://schemas.microsoft.com/office/drawing/2014/main" id="{B7FF7D2E-4E30-4221-9BC6-AA62F94BAC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260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20</xdr:row>
      <xdr:rowOff>0</xdr:rowOff>
    </xdr:from>
    <xdr:ext cx="7620" cy="7620"/>
    <xdr:pic>
      <xdr:nvPicPr>
        <xdr:cNvPr id="131" name="Imagem 130">
          <a:extLst>
            <a:ext uri="{FF2B5EF4-FFF2-40B4-BE49-F238E27FC236}">
              <a16:creationId xmlns:a16="http://schemas.microsoft.com/office/drawing/2014/main" id="{75F3A601-2F3F-475E-B865-03C1136020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089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21</xdr:row>
      <xdr:rowOff>0</xdr:rowOff>
    </xdr:from>
    <xdr:ext cx="7620" cy="7620"/>
    <xdr:pic>
      <xdr:nvPicPr>
        <xdr:cNvPr id="132" name="Imagem 131">
          <a:extLst>
            <a:ext uri="{FF2B5EF4-FFF2-40B4-BE49-F238E27FC236}">
              <a16:creationId xmlns:a16="http://schemas.microsoft.com/office/drawing/2014/main" id="{F52C0478-3E26-4D35-BE6F-50E73FA5E2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3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22</xdr:row>
      <xdr:rowOff>0</xdr:rowOff>
    </xdr:from>
    <xdr:ext cx="7620" cy="7620"/>
    <xdr:pic>
      <xdr:nvPicPr>
        <xdr:cNvPr id="133" name="Imagem 132">
          <a:extLst>
            <a:ext uri="{FF2B5EF4-FFF2-40B4-BE49-F238E27FC236}">
              <a16:creationId xmlns:a16="http://schemas.microsoft.com/office/drawing/2014/main" id="{B115543B-E4C2-402A-99DA-3F9AA42E3D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260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23</xdr:row>
      <xdr:rowOff>0</xdr:rowOff>
    </xdr:from>
    <xdr:ext cx="7620" cy="7620"/>
    <xdr:pic>
      <xdr:nvPicPr>
        <xdr:cNvPr id="134" name="Imagem 133">
          <a:extLst>
            <a:ext uri="{FF2B5EF4-FFF2-40B4-BE49-F238E27FC236}">
              <a16:creationId xmlns:a16="http://schemas.microsoft.com/office/drawing/2014/main" id="{2902F405-1E97-4E41-98CC-50E848A11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089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21</xdr:row>
      <xdr:rowOff>0</xdr:rowOff>
    </xdr:from>
    <xdr:ext cx="7620" cy="7620"/>
    <xdr:pic>
      <xdr:nvPicPr>
        <xdr:cNvPr id="135" name="Imagem 134">
          <a:extLst>
            <a:ext uri="{FF2B5EF4-FFF2-40B4-BE49-F238E27FC236}">
              <a16:creationId xmlns:a16="http://schemas.microsoft.com/office/drawing/2014/main" id="{152FE133-8843-4ACD-BE2F-295A2F38F4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3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22</xdr:row>
      <xdr:rowOff>0</xdr:rowOff>
    </xdr:from>
    <xdr:ext cx="7620" cy="7620"/>
    <xdr:pic>
      <xdr:nvPicPr>
        <xdr:cNvPr id="136" name="Imagem 135">
          <a:extLst>
            <a:ext uri="{FF2B5EF4-FFF2-40B4-BE49-F238E27FC236}">
              <a16:creationId xmlns:a16="http://schemas.microsoft.com/office/drawing/2014/main" id="{56B80F87-D681-4D67-A587-D8B87EB982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260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23</xdr:row>
      <xdr:rowOff>0</xdr:rowOff>
    </xdr:from>
    <xdr:ext cx="7620" cy="7620"/>
    <xdr:pic>
      <xdr:nvPicPr>
        <xdr:cNvPr id="137" name="Imagem 136">
          <a:extLst>
            <a:ext uri="{FF2B5EF4-FFF2-40B4-BE49-F238E27FC236}">
              <a16:creationId xmlns:a16="http://schemas.microsoft.com/office/drawing/2014/main" id="{40E45B07-4FFB-4255-9305-43CEBE270D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089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31</xdr:row>
      <xdr:rowOff>0</xdr:rowOff>
    </xdr:from>
    <xdr:ext cx="7620" cy="7620"/>
    <xdr:pic>
      <xdr:nvPicPr>
        <xdr:cNvPr id="138" name="Imagem 137">
          <a:extLst>
            <a:ext uri="{FF2B5EF4-FFF2-40B4-BE49-F238E27FC236}">
              <a16:creationId xmlns:a16="http://schemas.microsoft.com/office/drawing/2014/main" id="{7507E1F6-F2F1-444D-85F9-046C8F6D66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206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32</xdr:row>
      <xdr:rowOff>0</xdr:rowOff>
    </xdr:from>
    <xdr:ext cx="7620" cy="7620"/>
    <xdr:pic>
      <xdr:nvPicPr>
        <xdr:cNvPr id="139" name="Imagem 138">
          <a:extLst>
            <a:ext uri="{FF2B5EF4-FFF2-40B4-BE49-F238E27FC236}">
              <a16:creationId xmlns:a16="http://schemas.microsoft.com/office/drawing/2014/main" id="{9053F9FF-0D79-47E8-9553-B86BE57BD0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035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33</xdr:row>
      <xdr:rowOff>0</xdr:rowOff>
    </xdr:from>
    <xdr:ext cx="7620" cy="7620"/>
    <xdr:pic>
      <xdr:nvPicPr>
        <xdr:cNvPr id="140" name="Imagem 139">
          <a:extLst>
            <a:ext uri="{FF2B5EF4-FFF2-40B4-BE49-F238E27FC236}">
              <a16:creationId xmlns:a16="http://schemas.microsoft.com/office/drawing/2014/main" id="{B89DBD1E-6EFE-4EF9-A433-41FFDB2FA7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864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31</xdr:row>
      <xdr:rowOff>0</xdr:rowOff>
    </xdr:from>
    <xdr:ext cx="7620" cy="7620"/>
    <xdr:pic>
      <xdr:nvPicPr>
        <xdr:cNvPr id="141" name="Imagem 140">
          <a:extLst>
            <a:ext uri="{FF2B5EF4-FFF2-40B4-BE49-F238E27FC236}">
              <a16:creationId xmlns:a16="http://schemas.microsoft.com/office/drawing/2014/main" id="{5313430C-4158-4920-970B-96FBA37036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206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32</xdr:row>
      <xdr:rowOff>0</xdr:rowOff>
    </xdr:from>
    <xdr:ext cx="7620" cy="7620"/>
    <xdr:pic>
      <xdr:nvPicPr>
        <xdr:cNvPr id="142" name="Imagem 141">
          <a:extLst>
            <a:ext uri="{FF2B5EF4-FFF2-40B4-BE49-F238E27FC236}">
              <a16:creationId xmlns:a16="http://schemas.microsoft.com/office/drawing/2014/main" id="{DA8387D1-BF29-4E48-BAAF-80B5A07D3F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035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33</xdr:row>
      <xdr:rowOff>0</xdr:rowOff>
    </xdr:from>
    <xdr:ext cx="7620" cy="7620"/>
    <xdr:pic>
      <xdr:nvPicPr>
        <xdr:cNvPr id="143" name="Imagem 142">
          <a:extLst>
            <a:ext uri="{FF2B5EF4-FFF2-40B4-BE49-F238E27FC236}">
              <a16:creationId xmlns:a16="http://schemas.microsoft.com/office/drawing/2014/main" id="{72026FFA-7822-4430-8C2C-D28F8225A5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864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34</xdr:row>
      <xdr:rowOff>0</xdr:rowOff>
    </xdr:from>
    <xdr:ext cx="7620" cy="7620"/>
    <xdr:pic>
      <xdr:nvPicPr>
        <xdr:cNvPr id="144" name="Imagem 143">
          <a:extLst>
            <a:ext uri="{FF2B5EF4-FFF2-40B4-BE49-F238E27FC236}">
              <a16:creationId xmlns:a16="http://schemas.microsoft.com/office/drawing/2014/main" id="{95BDBCC1-B3A5-45FE-ACB2-89558DFBE8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206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35</xdr:row>
      <xdr:rowOff>0</xdr:rowOff>
    </xdr:from>
    <xdr:ext cx="7620" cy="7620"/>
    <xdr:pic>
      <xdr:nvPicPr>
        <xdr:cNvPr id="145" name="Imagem 144">
          <a:extLst>
            <a:ext uri="{FF2B5EF4-FFF2-40B4-BE49-F238E27FC236}">
              <a16:creationId xmlns:a16="http://schemas.microsoft.com/office/drawing/2014/main" id="{4CC253F1-A310-4AAE-8C94-377C5A71F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035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36</xdr:row>
      <xdr:rowOff>0</xdr:rowOff>
    </xdr:from>
    <xdr:ext cx="7620" cy="7620"/>
    <xdr:pic>
      <xdr:nvPicPr>
        <xdr:cNvPr id="146" name="Imagem 145">
          <a:extLst>
            <a:ext uri="{FF2B5EF4-FFF2-40B4-BE49-F238E27FC236}">
              <a16:creationId xmlns:a16="http://schemas.microsoft.com/office/drawing/2014/main" id="{DC03CB82-9033-4A51-816B-DA88620F3B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864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34</xdr:row>
      <xdr:rowOff>0</xdr:rowOff>
    </xdr:from>
    <xdr:ext cx="7620" cy="7620"/>
    <xdr:pic>
      <xdr:nvPicPr>
        <xdr:cNvPr id="147" name="Imagem 146">
          <a:extLst>
            <a:ext uri="{FF2B5EF4-FFF2-40B4-BE49-F238E27FC236}">
              <a16:creationId xmlns:a16="http://schemas.microsoft.com/office/drawing/2014/main" id="{0DF8CC24-EC21-42B2-A686-7A8363DA8E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206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35</xdr:row>
      <xdr:rowOff>0</xdr:rowOff>
    </xdr:from>
    <xdr:ext cx="7620" cy="7620"/>
    <xdr:pic>
      <xdr:nvPicPr>
        <xdr:cNvPr id="148" name="Imagem 147">
          <a:extLst>
            <a:ext uri="{FF2B5EF4-FFF2-40B4-BE49-F238E27FC236}">
              <a16:creationId xmlns:a16="http://schemas.microsoft.com/office/drawing/2014/main" id="{FC69B2FF-491B-4B49-8B95-B8431C1ABA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035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36</xdr:row>
      <xdr:rowOff>0</xdr:rowOff>
    </xdr:from>
    <xdr:ext cx="7620" cy="7620"/>
    <xdr:pic>
      <xdr:nvPicPr>
        <xdr:cNvPr id="149" name="Imagem 148">
          <a:extLst>
            <a:ext uri="{FF2B5EF4-FFF2-40B4-BE49-F238E27FC236}">
              <a16:creationId xmlns:a16="http://schemas.microsoft.com/office/drawing/2014/main" id="{D7266583-34BC-49F4-B76E-AF87B189DD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864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44</xdr:row>
      <xdr:rowOff>0</xdr:rowOff>
    </xdr:from>
    <xdr:ext cx="7620" cy="7620"/>
    <xdr:pic>
      <xdr:nvPicPr>
        <xdr:cNvPr id="150" name="Imagem 149">
          <a:extLst>
            <a:ext uri="{FF2B5EF4-FFF2-40B4-BE49-F238E27FC236}">
              <a16:creationId xmlns:a16="http://schemas.microsoft.com/office/drawing/2014/main" id="{DC948AD2-B223-4C8A-BC3E-B5CFA146F7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980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45</xdr:row>
      <xdr:rowOff>0</xdr:rowOff>
    </xdr:from>
    <xdr:ext cx="7620" cy="7620"/>
    <xdr:pic>
      <xdr:nvPicPr>
        <xdr:cNvPr id="151" name="Imagem 150">
          <a:extLst>
            <a:ext uri="{FF2B5EF4-FFF2-40B4-BE49-F238E27FC236}">
              <a16:creationId xmlns:a16="http://schemas.microsoft.com/office/drawing/2014/main" id="{66691E75-10F0-4D07-BAEF-F15C4C9391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809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46</xdr:row>
      <xdr:rowOff>0</xdr:rowOff>
    </xdr:from>
    <xdr:ext cx="7620" cy="7620"/>
    <xdr:pic>
      <xdr:nvPicPr>
        <xdr:cNvPr id="152" name="Imagem 151">
          <a:extLst>
            <a:ext uri="{FF2B5EF4-FFF2-40B4-BE49-F238E27FC236}">
              <a16:creationId xmlns:a16="http://schemas.microsoft.com/office/drawing/2014/main" id="{544E2293-78C7-46F3-9BE6-004D45AD7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638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44</xdr:row>
      <xdr:rowOff>0</xdr:rowOff>
    </xdr:from>
    <xdr:ext cx="7620" cy="7620"/>
    <xdr:pic>
      <xdr:nvPicPr>
        <xdr:cNvPr id="153" name="Imagem 152">
          <a:extLst>
            <a:ext uri="{FF2B5EF4-FFF2-40B4-BE49-F238E27FC236}">
              <a16:creationId xmlns:a16="http://schemas.microsoft.com/office/drawing/2014/main" id="{3CE78F56-1DE3-4754-AECF-C6BE14F5F2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980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45</xdr:row>
      <xdr:rowOff>0</xdr:rowOff>
    </xdr:from>
    <xdr:ext cx="7620" cy="7620"/>
    <xdr:pic>
      <xdr:nvPicPr>
        <xdr:cNvPr id="154" name="Imagem 153">
          <a:extLst>
            <a:ext uri="{FF2B5EF4-FFF2-40B4-BE49-F238E27FC236}">
              <a16:creationId xmlns:a16="http://schemas.microsoft.com/office/drawing/2014/main" id="{9B105521-CF8A-4F1B-8E75-A7CFC574C4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809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46</xdr:row>
      <xdr:rowOff>0</xdr:rowOff>
    </xdr:from>
    <xdr:ext cx="7620" cy="7620"/>
    <xdr:pic>
      <xdr:nvPicPr>
        <xdr:cNvPr id="155" name="Imagem 154">
          <a:extLst>
            <a:ext uri="{FF2B5EF4-FFF2-40B4-BE49-F238E27FC236}">
              <a16:creationId xmlns:a16="http://schemas.microsoft.com/office/drawing/2014/main" id="{BBFBF039-C4C9-4A55-B5C3-D71F740DF4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638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47</xdr:row>
      <xdr:rowOff>0</xdr:rowOff>
    </xdr:from>
    <xdr:ext cx="7620" cy="7620"/>
    <xdr:pic>
      <xdr:nvPicPr>
        <xdr:cNvPr id="156" name="Imagem 155">
          <a:extLst>
            <a:ext uri="{FF2B5EF4-FFF2-40B4-BE49-F238E27FC236}">
              <a16:creationId xmlns:a16="http://schemas.microsoft.com/office/drawing/2014/main" id="{6F661341-DD60-4CDE-A0EB-BF0C53C7CD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980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48</xdr:row>
      <xdr:rowOff>0</xdr:rowOff>
    </xdr:from>
    <xdr:ext cx="7620" cy="7620"/>
    <xdr:pic>
      <xdr:nvPicPr>
        <xdr:cNvPr id="157" name="Imagem 156">
          <a:extLst>
            <a:ext uri="{FF2B5EF4-FFF2-40B4-BE49-F238E27FC236}">
              <a16:creationId xmlns:a16="http://schemas.microsoft.com/office/drawing/2014/main" id="{D6B427BE-2F04-45A3-825E-3A6C3687C9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809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49</xdr:row>
      <xdr:rowOff>0</xdr:rowOff>
    </xdr:from>
    <xdr:ext cx="7620" cy="7620"/>
    <xdr:pic>
      <xdr:nvPicPr>
        <xdr:cNvPr id="158" name="Imagem 157">
          <a:extLst>
            <a:ext uri="{FF2B5EF4-FFF2-40B4-BE49-F238E27FC236}">
              <a16:creationId xmlns:a16="http://schemas.microsoft.com/office/drawing/2014/main" id="{E12828ED-4C77-432B-B0D6-E9E98D9EC8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638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47</xdr:row>
      <xdr:rowOff>0</xdr:rowOff>
    </xdr:from>
    <xdr:ext cx="7620" cy="7620"/>
    <xdr:pic>
      <xdr:nvPicPr>
        <xdr:cNvPr id="159" name="Imagem 158">
          <a:extLst>
            <a:ext uri="{FF2B5EF4-FFF2-40B4-BE49-F238E27FC236}">
              <a16:creationId xmlns:a16="http://schemas.microsoft.com/office/drawing/2014/main" id="{E2767FF7-24ED-4569-9978-ECCD89E2E9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980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48</xdr:row>
      <xdr:rowOff>0</xdr:rowOff>
    </xdr:from>
    <xdr:ext cx="7620" cy="7620"/>
    <xdr:pic>
      <xdr:nvPicPr>
        <xdr:cNvPr id="160" name="Imagem 159">
          <a:extLst>
            <a:ext uri="{FF2B5EF4-FFF2-40B4-BE49-F238E27FC236}">
              <a16:creationId xmlns:a16="http://schemas.microsoft.com/office/drawing/2014/main" id="{B2531894-0425-4E2E-878C-8524A0BC05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809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49</xdr:row>
      <xdr:rowOff>0</xdr:rowOff>
    </xdr:from>
    <xdr:ext cx="7620" cy="7620"/>
    <xdr:pic>
      <xdr:nvPicPr>
        <xdr:cNvPr id="161" name="Imagem 160">
          <a:extLst>
            <a:ext uri="{FF2B5EF4-FFF2-40B4-BE49-F238E27FC236}">
              <a16:creationId xmlns:a16="http://schemas.microsoft.com/office/drawing/2014/main" id="{3C25798E-BD8E-42A7-8C9F-38370B9B91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638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2</xdr:col>
      <xdr:colOff>7620</xdr:colOff>
      <xdr:row>1</xdr:row>
      <xdr:rowOff>7620</xdr:rowOff>
    </xdr:to>
    <xdr:pic>
      <xdr:nvPicPr>
        <xdr:cNvPr id="2" name="Imagem 1" descr="offense">
          <a:extLst>
            <a:ext uri="{FF2B5EF4-FFF2-40B4-BE49-F238E27FC236}">
              <a16:creationId xmlns:a16="http://schemas.microsoft.com/office/drawing/2014/main" id="{B2F9AB41-8868-42DB-A436-3E5F47AD05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659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2</xdr:col>
      <xdr:colOff>7620</xdr:colOff>
      <xdr:row>1</xdr:row>
      <xdr:rowOff>7620</xdr:rowOff>
    </xdr:to>
    <xdr:pic>
      <xdr:nvPicPr>
        <xdr:cNvPr id="3" name="Imagem 2" descr="Defense value against infantry">
          <a:extLst>
            <a:ext uri="{FF2B5EF4-FFF2-40B4-BE49-F238E27FC236}">
              <a16:creationId xmlns:a16="http://schemas.microsoft.com/office/drawing/2014/main" id="{83360CF7-47A9-42F1-836D-B44A7BC13B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55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2</xdr:col>
      <xdr:colOff>7620</xdr:colOff>
      <xdr:row>1</xdr:row>
      <xdr:rowOff>7620</xdr:rowOff>
    </xdr:to>
    <xdr:pic>
      <xdr:nvPicPr>
        <xdr:cNvPr id="4" name="Imagem 3" descr="Defense value against cavalry">
          <a:extLst>
            <a:ext uri="{FF2B5EF4-FFF2-40B4-BE49-F238E27FC236}">
              <a16:creationId xmlns:a16="http://schemas.microsoft.com/office/drawing/2014/main" id="{8732CECC-1679-4F35-92FE-12EFAA77A4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51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2</xdr:col>
      <xdr:colOff>7620</xdr:colOff>
      <xdr:row>1</xdr:row>
      <xdr:rowOff>7620</xdr:rowOff>
    </xdr:to>
    <xdr:pic>
      <xdr:nvPicPr>
        <xdr:cNvPr id="5" name="Imagem 4" descr="Speed">
          <a:extLst>
            <a:ext uri="{FF2B5EF4-FFF2-40B4-BE49-F238E27FC236}">
              <a16:creationId xmlns:a16="http://schemas.microsoft.com/office/drawing/2014/main" id="{6EEA6043-3676-49E7-ACF9-72A55A5F43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47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2</xdr:col>
      <xdr:colOff>7620</xdr:colOff>
      <xdr:row>1</xdr:row>
      <xdr:rowOff>7620</xdr:rowOff>
    </xdr:to>
    <xdr:pic>
      <xdr:nvPicPr>
        <xdr:cNvPr id="6" name="Imagem 5" descr="Capacity">
          <a:extLst>
            <a:ext uri="{FF2B5EF4-FFF2-40B4-BE49-F238E27FC236}">
              <a16:creationId xmlns:a16="http://schemas.microsoft.com/office/drawing/2014/main" id="{03A93536-085A-4A1C-A1A9-339A836461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043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2</xdr:col>
      <xdr:colOff>7620</xdr:colOff>
      <xdr:row>1</xdr:row>
      <xdr:rowOff>7620</xdr:rowOff>
    </xdr:to>
    <xdr:pic>
      <xdr:nvPicPr>
        <xdr:cNvPr id="7" name="Imagem 6" descr="Lumber">
          <a:extLst>
            <a:ext uri="{FF2B5EF4-FFF2-40B4-BE49-F238E27FC236}">
              <a16:creationId xmlns:a16="http://schemas.microsoft.com/office/drawing/2014/main" id="{2EBAC269-7AAB-4121-8544-781E34F3E7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9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7620</xdr:colOff>
      <xdr:row>1</xdr:row>
      <xdr:rowOff>7620</xdr:rowOff>
    </xdr:to>
    <xdr:pic>
      <xdr:nvPicPr>
        <xdr:cNvPr id="8" name="Imagem 7" descr="Clay">
          <a:extLst>
            <a:ext uri="{FF2B5EF4-FFF2-40B4-BE49-F238E27FC236}">
              <a16:creationId xmlns:a16="http://schemas.microsoft.com/office/drawing/2014/main" id="{8D9BE537-08B3-43AD-9FBC-E592FA83BC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235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1</xdr:row>
      <xdr:rowOff>0</xdr:rowOff>
    </xdr:from>
    <xdr:to>
      <xdr:col>4</xdr:col>
      <xdr:colOff>7620</xdr:colOff>
      <xdr:row>1</xdr:row>
      <xdr:rowOff>7620</xdr:rowOff>
    </xdr:to>
    <xdr:pic>
      <xdr:nvPicPr>
        <xdr:cNvPr id="9" name="Imagem 8" descr="Iron">
          <a:extLst>
            <a:ext uri="{FF2B5EF4-FFF2-40B4-BE49-F238E27FC236}">
              <a16:creationId xmlns:a16="http://schemas.microsoft.com/office/drawing/2014/main" id="{6C137798-383F-4A33-BBF3-C400B53EA0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331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1</xdr:row>
      <xdr:rowOff>0</xdr:rowOff>
    </xdr:from>
    <xdr:to>
      <xdr:col>5</xdr:col>
      <xdr:colOff>7620</xdr:colOff>
      <xdr:row>1</xdr:row>
      <xdr:rowOff>7620</xdr:rowOff>
    </xdr:to>
    <xdr:pic>
      <xdr:nvPicPr>
        <xdr:cNvPr id="10" name="Imagem 9" descr="Crop">
          <a:extLst>
            <a:ext uri="{FF2B5EF4-FFF2-40B4-BE49-F238E27FC236}">
              <a16:creationId xmlns:a16="http://schemas.microsoft.com/office/drawing/2014/main" id="{F4C9A08A-2DC0-48E0-98DD-BFA28704E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27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7620</xdr:colOff>
      <xdr:row>1</xdr:row>
      <xdr:rowOff>7620</xdr:rowOff>
    </xdr:to>
    <xdr:pic>
      <xdr:nvPicPr>
        <xdr:cNvPr id="11" name="Imagem 10" descr="Total cost">
          <a:extLst>
            <a:ext uri="{FF2B5EF4-FFF2-40B4-BE49-F238E27FC236}">
              <a16:creationId xmlns:a16="http://schemas.microsoft.com/office/drawing/2014/main" id="{7C5334CE-64B0-4AE4-B4E3-55FC128CF2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523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7620</xdr:colOff>
      <xdr:row>1</xdr:row>
      <xdr:rowOff>7620</xdr:rowOff>
    </xdr:to>
    <xdr:pic>
      <xdr:nvPicPr>
        <xdr:cNvPr id="12" name="Imagem 11" descr="upkeep">
          <a:extLst>
            <a:ext uri="{FF2B5EF4-FFF2-40B4-BE49-F238E27FC236}">
              <a16:creationId xmlns:a16="http://schemas.microsoft.com/office/drawing/2014/main" id="{E10D9C22-9E25-4D3B-A0D8-D6276383FD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523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7620</xdr:colOff>
      <xdr:row>1</xdr:row>
      <xdr:rowOff>7620</xdr:rowOff>
    </xdr:to>
    <xdr:pic>
      <xdr:nvPicPr>
        <xdr:cNvPr id="13" name="Imagem 12" descr="Time">
          <a:extLst>
            <a:ext uri="{FF2B5EF4-FFF2-40B4-BE49-F238E27FC236}">
              <a16:creationId xmlns:a16="http://schemas.microsoft.com/office/drawing/2014/main" id="{0AE08F75-4EC8-45CA-8EC1-6388737060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6196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7620</xdr:colOff>
      <xdr:row>2</xdr:row>
      <xdr:rowOff>7620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E1DDDB5A-8CE7-487D-A413-259DCF1DDA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7620</xdr:colOff>
      <xdr:row>2</xdr:row>
      <xdr:rowOff>7620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ECF24D60-843C-471B-AF2E-C99CB04CB6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86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7620</xdr:colOff>
      <xdr:row>3</xdr:row>
      <xdr:rowOff>7620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70B58908-793C-4AF9-B4A1-088E4BCDC4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15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7620</xdr:colOff>
      <xdr:row>4</xdr:row>
      <xdr:rowOff>7620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E46F279D-AEB8-4E67-BDF9-DD45EEE0F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44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7620</xdr:colOff>
      <xdr:row>5</xdr:row>
      <xdr:rowOff>7620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6009F135-CBF0-4C6B-8C62-00C94759A1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972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7620</xdr:colOff>
      <xdr:row>6</xdr:row>
      <xdr:rowOff>7620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7A09CDEE-7CC4-4C71-82C9-B4B695C5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01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7620</xdr:colOff>
      <xdr:row>7</xdr:row>
      <xdr:rowOff>7620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F06B0B0-BCDF-453C-BA5C-0B3FC676C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30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7620</xdr:colOff>
      <xdr:row>8</xdr:row>
      <xdr:rowOff>7620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770B5F2D-4C13-4D5A-9068-79017C95FF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59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7620</xdr:colOff>
      <xdr:row>9</xdr:row>
      <xdr:rowOff>7620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12C0ABED-023C-4953-B747-D9C171855D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288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7620</xdr:colOff>
      <xdr:row>10</xdr:row>
      <xdr:rowOff>7620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8AC88A18-2F5A-4E71-A3DE-15643C25A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116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2</xdr:col>
      <xdr:colOff>0</xdr:colOff>
      <xdr:row>12</xdr:row>
      <xdr:rowOff>0</xdr:rowOff>
    </xdr:from>
    <xdr:ext cx="7620" cy="7620"/>
    <xdr:pic>
      <xdr:nvPicPr>
        <xdr:cNvPr id="24" name="Imagem 23" descr="offense">
          <a:extLst>
            <a:ext uri="{FF2B5EF4-FFF2-40B4-BE49-F238E27FC236}">
              <a16:creationId xmlns:a16="http://schemas.microsoft.com/office/drawing/2014/main" id="{80175C11-6A03-42AF-BAFF-6728903468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65960" y="25603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12</xdr:row>
      <xdr:rowOff>0</xdr:rowOff>
    </xdr:from>
    <xdr:ext cx="7620" cy="7620"/>
    <xdr:pic>
      <xdr:nvPicPr>
        <xdr:cNvPr id="25" name="Imagem 24" descr="Defense value against infantry">
          <a:extLst>
            <a:ext uri="{FF2B5EF4-FFF2-40B4-BE49-F238E27FC236}">
              <a16:creationId xmlns:a16="http://schemas.microsoft.com/office/drawing/2014/main" id="{8062F879-4EB5-44D7-950A-114AB0CDE5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5560" y="25603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12</xdr:row>
      <xdr:rowOff>0</xdr:rowOff>
    </xdr:from>
    <xdr:ext cx="7620" cy="7620"/>
    <xdr:pic>
      <xdr:nvPicPr>
        <xdr:cNvPr id="26" name="Imagem 25" descr="Defense value against cavalry">
          <a:extLst>
            <a:ext uri="{FF2B5EF4-FFF2-40B4-BE49-F238E27FC236}">
              <a16:creationId xmlns:a16="http://schemas.microsoft.com/office/drawing/2014/main" id="{EC5A8842-17C4-4BCF-89D8-D741867480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5160" y="25603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12</xdr:row>
      <xdr:rowOff>0</xdr:rowOff>
    </xdr:from>
    <xdr:ext cx="7620" cy="7620"/>
    <xdr:pic>
      <xdr:nvPicPr>
        <xdr:cNvPr id="27" name="Imagem 26" descr="Speed">
          <a:extLst>
            <a:ext uri="{FF2B5EF4-FFF2-40B4-BE49-F238E27FC236}">
              <a16:creationId xmlns:a16="http://schemas.microsoft.com/office/drawing/2014/main" id="{00F40C8E-37FA-42D0-98D9-1DA1B7BE65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4760" y="25603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12</xdr:row>
      <xdr:rowOff>0</xdr:rowOff>
    </xdr:from>
    <xdr:ext cx="7620" cy="7620"/>
    <xdr:pic>
      <xdr:nvPicPr>
        <xdr:cNvPr id="28" name="Imagem 27" descr="Capacity">
          <a:extLst>
            <a:ext uri="{FF2B5EF4-FFF2-40B4-BE49-F238E27FC236}">
              <a16:creationId xmlns:a16="http://schemas.microsoft.com/office/drawing/2014/main" id="{0B168B89-4F75-4C38-BB3E-CC0FB3942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04360" y="25603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12</xdr:row>
      <xdr:rowOff>0</xdr:rowOff>
    </xdr:from>
    <xdr:ext cx="7620" cy="7620"/>
    <xdr:pic>
      <xdr:nvPicPr>
        <xdr:cNvPr id="29" name="Imagem 28" descr="Lumber">
          <a:extLst>
            <a:ext uri="{FF2B5EF4-FFF2-40B4-BE49-F238E27FC236}">
              <a16:creationId xmlns:a16="http://schemas.microsoft.com/office/drawing/2014/main" id="{40352CE5-0305-480F-946D-E0D6743A07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960" y="25603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</xdr:row>
      <xdr:rowOff>0</xdr:rowOff>
    </xdr:from>
    <xdr:ext cx="7620" cy="7620"/>
    <xdr:pic>
      <xdr:nvPicPr>
        <xdr:cNvPr id="30" name="Imagem 29" descr="Clay">
          <a:extLst>
            <a:ext uri="{FF2B5EF4-FFF2-40B4-BE49-F238E27FC236}">
              <a16:creationId xmlns:a16="http://schemas.microsoft.com/office/drawing/2014/main" id="{CE53D346-4A5B-46D0-8C05-C6CB52242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23560" y="25603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12</xdr:row>
      <xdr:rowOff>0</xdr:rowOff>
    </xdr:from>
    <xdr:ext cx="7620" cy="7620"/>
    <xdr:pic>
      <xdr:nvPicPr>
        <xdr:cNvPr id="31" name="Imagem 30" descr="Iron">
          <a:extLst>
            <a:ext uri="{FF2B5EF4-FFF2-40B4-BE49-F238E27FC236}">
              <a16:creationId xmlns:a16="http://schemas.microsoft.com/office/drawing/2014/main" id="{C87A8349-C473-464A-984C-AC8906135D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33160" y="25603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0</xdr:colOff>
      <xdr:row>12</xdr:row>
      <xdr:rowOff>0</xdr:rowOff>
    </xdr:from>
    <xdr:ext cx="7620" cy="7620"/>
    <xdr:pic>
      <xdr:nvPicPr>
        <xdr:cNvPr id="32" name="Imagem 31" descr="Crop">
          <a:extLst>
            <a:ext uri="{FF2B5EF4-FFF2-40B4-BE49-F238E27FC236}">
              <a16:creationId xmlns:a16="http://schemas.microsoft.com/office/drawing/2014/main" id="{2C150B6A-4B6E-41FE-B740-AA5428ABD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2760" y="25603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12</xdr:row>
      <xdr:rowOff>0</xdr:rowOff>
    </xdr:from>
    <xdr:ext cx="7620" cy="7620"/>
    <xdr:pic>
      <xdr:nvPicPr>
        <xdr:cNvPr id="33" name="Imagem 32" descr="Total cost">
          <a:extLst>
            <a:ext uri="{FF2B5EF4-FFF2-40B4-BE49-F238E27FC236}">
              <a16:creationId xmlns:a16="http://schemas.microsoft.com/office/drawing/2014/main" id="{DE319A7F-5B7F-4C1E-9DA3-D80AC460D0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52360" y="25603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12</xdr:row>
      <xdr:rowOff>0</xdr:rowOff>
    </xdr:from>
    <xdr:ext cx="7620" cy="7620"/>
    <xdr:pic>
      <xdr:nvPicPr>
        <xdr:cNvPr id="34" name="Imagem 33" descr="upkeep">
          <a:extLst>
            <a:ext uri="{FF2B5EF4-FFF2-40B4-BE49-F238E27FC236}">
              <a16:creationId xmlns:a16="http://schemas.microsoft.com/office/drawing/2014/main" id="{9CDEE43D-9C8B-4C28-8136-5CFC885A9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52360" y="25603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12</xdr:row>
      <xdr:rowOff>0</xdr:rowOff>
    </xdr:from>
    <xdr:ext cx="7620" cy="7620"/>
    <xdr:pic>
      <xdr:nvPicPr>
        <xdr:cNvPr id="35" name="Imagem 34" descr="Time">
          <a:extLst>
            <a:ext uri="{FF2B5EF4-FFF2-40B4-BE49-F238E27FC236}">
              <a16:creationId xmlns:a16="http://schemas.microsoft.com/office/drawing/2014/main" id="{95290BC5-3400-48D4-AFF6-568420903C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61960" y="25603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13</xdr:row>
      <xdr:rowOff>0</xdr:rowOff>
    </xdr:from>
    <xdr:ext cx="7620" cy="7620"/>
    <xdr:pic>
      <xdr:nvPicPr>
        <xdr:cNvPr id="36" name="Imagem 35">
          <a:extLst>
            <a:ext uri="{FF2B5EF4-FFF2-40B4-BE49-F238E27FC236}">
              <a16:creationId xmlns:a16="http://schemas.microsoft.com/office/drawing/2014/main" id="{3AC479DE-5FDC-43BD-8CFC-B9A95ABB57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3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13</xdr:row>
      <xdr:rowOff>0</xdr:rowOff>
    </xdr:from>
    <xdr:ext cx="7620" cy="7620"/>
    <xdr:pic>
      <xdr:nvPicPr>
        <xdr:cNvPr id="37" name="Imagem 36">
          <a:extLst>
            <a:ext uri="{FF2B5EF4-FFF2-40B4-BE49-F238E27FC236}">
              <a16:creationId xmlns:a16="http://schemas.microsoft.com/office/drawing/2014/main" id="{687AFF1D-F6ED-4DC8-9276-99C9BDA03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260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14</xdr:row>
      <xdr:rowOff>0</xdr:rowOff>
    </xdr:from>
    <xdr:ext cx="7620" cy="7620"/>
    <xdr:pic>
      <xdr:nvPicPr>
        <xdr:cNvPr id="38" name="Imagem 37">
          <a:extLst>
            <a:ext uri="{FF2B5EF4-FFF2-40B4-BE49-F238E27FC236}">
              <a16:creationId xmlns:a16="http://schemas.microsoft.com/office/drawing/2014/main" id="{98EEA421-CCC8-4C68-86DF-7EC2F29566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089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15</xdr:row>
      <xdr:rowOff>0</xdr:rowOff>
    </xdr:from>
    <xdr:ext cx="7620" cy="7620"/>
    <xdr:pic>
      <xdr:nvPicPr>
        <xdr:cNvPr id="39" name="Imagem 38">
          <a:extLst>
            <a:ext uri="{FF2B5EF4-FFF2-40B4-BE49-F238E27FC236}">
              <a16:creationId xmlns:a16="http://schemas.microsoft.com/office/drawing/2014/main" id="{78C328F9-3D68-42E5-ACD4-2D96C2DCEC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918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16</xdr:row>
      <xdr:rowOff>0</xdr:rowOff>
    </xdr:from>
    <xdr:ext cx="7620" cy="7620"/>
    <xdr:pic>
      <xdr:nvPicPr>
        <xdr:cNvPr id="40" name="Imagem 39">
          <a:extLst>
            <a:ext uri="{FF2B5EF4-FFF2-40B4-BE49-F238E27FC236}">
              <a16:creationId xmlns:a16="http://schemas.microsoft.com/office/drawing/2014/main" id="{396AD7A9-DA8D-4335-BA71-FEA4C3E773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747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17</xdr:row>
      <xdr:rowOff>0</xdr:rowOff>
    </xdr:from>
    <xdr:ext cx="7620" cy="7620"/>
    <xdr:pic>
      <xdr:nvPicPr>
        <xdr:cNvPr id="41" name="Imagem 40">
          <a:extLst>
            <a:ext uri="{FF2B5EF4-FFF2-40B4-BE49-F238E27FC236}">
              <a16:creationId xmlns:a16="http://schemas.microsoft.com/office/drawing/2014/main" id="{4E56FCF0-AAAE-4BA2-8D77-781ECE9C5C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76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18</xdr:row>
      <xdr:rowOff>0</xdr:rowOff>
    </xdr:from>
    <xdr:ext cx="7620" cy="7620"/>
    <xdr:pic>
      <xdr:nvPicPr>
        <xdr:cNvPr id="42" name="Imagem 41">
          <a:extLst>
            <a:ext uri="{FF2B5EF4-FFF2-40B4-BE49-F238E27FC236}">
              <a16:creationId xmlns:a16="http://schemas.microsoft.com/office/drawing/2014/main" id="{A3A690A6-5BF2-45A9-B25C-AED611336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404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19</xdr:row>
      <xdr:rowOff>0</xdr:rowOff>
    </xdr:from>
    <xdr:ext cx="7620" cy="7620"/>
    <xdr:pic>
      <xdr:nvPicPr>
        <xdr:cNvPr id="43" name="Imagem 42">
          <a:extLst>
            <a:ext uri="{FF2B5EF4-FFF2-40B4-BE49-F238E27FC236}">
              <a16:creationId xmlns:a16="http://schemas.microsoft.com/office/drawing/2014/main" id="{2AD06BF5-6718-4138-AA17-E9CEA2A419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233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20</xdr:row>
      <xdr:rowOff>0</xdr:rowOff>
    </xdr:from>
    <xdr:ext cx="7620" cy="7620"/>
    <xdr:pic>
      <xdr:nvPicPr>
        <xdr:cNvPr id="44" name="Imagem 43">
          <a:extLst>
            <a:ext uri="{FF2B5EF4-FFF2-40B4-BE49-F238E27FC236}">
              <a16:creationId xmlns:a16="http://schemas.microsoft.com/office/drawing/2014/main" id="{B2378D8B-0576-4FF9-8CED-83691D4AB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062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21</xdr:row>
      <xdr:rowOff>0</xdr:rowOff>
    </xdr:from>
    <xdr:ext cx="7620" cy="7620"/>
    <xdr:pic>
      <xdr:nvPicPr>
        <xdr:cNvPr id="45" name="Imagem 44">
          <a:extLst>
            <a:ext uri="{FF2B5EF4-FFF2-40B4-BE49-F238E27FC236}">
              <a16:creationId xmlns:a16="http://schemas.microsoft.com/office/drawing/2014/main" id="{5E56711C-2833-4246-8894-F5C8D1CC3B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891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23</xdr:row>
      <xdr:rowOff>0</xdr:rowOff>
    </xdr:from>
    <xdr:ext cx="7620" cy="7620"/>
    <xdr:pic>
      <xdr:nvPicPr>
        <xdr:cNvPr id="46" name="Imagem 45" descr="offense">
          <a:extLst>
            <a:ext uri="{FF2B5EF4-FFF2-40B4-BE49-F238E27FC236}">
              <a16:creationId xmlns:a16="http://schemas.microsoft.com/office/drawing/2014/main" id="{FC77E0F5-ECF9-4308-955E-9E00DF3539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65960" y="4937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23</xdr:row>
      <xdr:rowOff>0</xdr:rowOff>
    </xdr:from>
    <xdr:ext cx="7620" cy="7620"/>
    <xdr:pic>
      <xdr:nvPicPr>
        <xdr:cNvPr id="47" name="Imagem 46" descr="Defense value against infantry">
          <a:extLst>
            <a:ext uri="{FF2B5EF4-FFF2-40B4-BE49-F238E27FC236}">
              <a16:creationId xmlns:a16="http://schemas.microsoft.com/office/drawing/2014/main" id="{098E2143-8980-4B1D-9239-E53C5107F2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5560" y="4937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23</xdr:row>
      <xdr:rowOff>0</xdr:rowOff>
    </xdr:from>
    <xdr:ext cx="7620" cy="7620"/>
    <xdr:pic>
      <xdr:nvPicPr>
        <xdr:cNvPr id="48" name="Imagem 47" descr="Defense value against cavalry">
          <a:extLst>
            <a:ext uri="{FF2B5EF4-FFF2-40B4-BE49-F238E27FC236}">
              <a16:creationId xmlns:a16="http://schemas.microsoft.com/office/drawing/2014/main" id="{8BF9AC80-CA75-420E-B406-588C9179B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5160" y="4937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23</xdr:row>
      <xdr:rowOff>0</xdr:rowOff>
    </xdr:from>
    <xdr:ext cx="7620" cy="7620"/>
    <xdr:pic>
      <xdr:nvPicPr>
        <xdr:cNvPr id="49" name="Imagem 48" descr="Speed">
          <a:extLst>
            <a:ext uri="{FF2B5EF4-FFF2-40B4-BE49-F238E27FC236}">
              <a16:creationId xmlns:a16="http://schemas.microsoft.com/office/drawing/2014/main" id="{5C3D1608-6F52-484E-BD3E-94CAD2828A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4760" y="4937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23</xdr:row>
      <xdr:rowOff>0</xdr:rowOff>
    </xdr:from>
    <xdr:ext cx="7620" cy="7620"/>
    <xdr:pic>
      <xdr:nvPicPr>
        <xdr:cNvPr id="50" name="Imagem 49" descr="Capacity">
          <a:extLst>
            <a:ext uri="{FF2B5EF4-FFF2-40B4-BE49-F238E27FC236}">
              <a16:creationId xmlns:a16="http://schemas.microsoft.com/office/drawing/2014/main" id="{F8D33E1B-4B48-4E37-89FA-A5EEDBF98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04360" y="4937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23</xdr:row>
      <xdr:rowOff>0</xdr:rowOff>
    </xdr:from>
    <xdr:ext cx="7620" cy="7620"/>
    <xdr:pic>
      <xdr:nvPicPr>
        <xdr:cNvPr id="51" name="Imagem 50" descr="Lumber">
          <a:extLst>
            <a:ext uri="{FF2B5EF4-FFF2-40B4-BE49-F238E27FC236}">
              <a16:creationId xmlns:a16="http://schemas.microsoft.com/office/drawing/2014/main" id="{014CFD82-D65E-40F0-B73C-1E02F45E26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960" y="4937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23</xdr:row>
      <xdr:rowOff>0</xdr:rowOff>
    </xdr:from>
    <xdr:ext cx="7620" cy="7620"/>
    <xdr:pic>
      <xdr:nvPicPr>
        <xdr:cNvPr id="52" name="Imagem 51" descr="Clay">
          <a:extLst>
            <a:ext uri="{FF2B5EF4-FFF2-40B4-BE49-F238E27FC236}">
              <a16:creationId xmlns:a16="http://schemas.microsoft.com/office/drawing/2014/main" id="{676A2247-5DCF-42F9-B351-592E7AB78B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23560" y="4937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23</xdr:row>
      <xdr:rowOff>0</xdr:rowOff>
    </xdr:from>
    <xdr:ext cx="7620" cy="7620"/>
    <xdr:pic>
      <xdr:nvPicPr>
        <xdr:cNvPr id="53" name="Imagem 52" descr="Iron">
          <a:extLst>
            <a:ext uri="{FF2B5EF4-FFF2-40B4-BE49-F238E27FC236}">
              <a16:creationId xmlns:a16="http://schemas.microsoft.com/office/drawing/2014/main" id="{4D157D60-BA94-494D-9F64-10B1ECF9E0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33160" y="4937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0</xdr:colOff>
      <xdr:row>23</xdr:row>
      <xdr:rowOff>0</xdr:rowOff>
    </xdr:from>
    <xdr:ext cx="7620" cy="7620"/>
    <xdr:pic>
      <xdr:nvPicPr>
        <xdr:cNvPr id="54" name="Imagem 53" descr="Crop">
          <a:extLst>
            <a:ext uri="{FF2B5EF4-FFF2-40B4-BE49-F238E27FC236}">
              <a16:creationId xmlns:a16="http://schemas.microsoft.com/office/drawing/2014/main" id="{B3B26BDC-11B9-4D09-901B-34FC7BE2B5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2760" y="4937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23</xdr:row>
      <xdr:rowOff>0</xdr:rowOff>
    </xdr:from>
    <xdr:ext cx="7620" cy="7620"/>
    <xdr:pic>
      <xdr:nvPicPr>
        <xdr:cNvPr id="55" name="Imagem 54" descr="Total cost">
          <a:extLst>
            <a:ext uri="{FF2B5EF4-FFF2-40B4-BE49-F238E27FC236}">
              <a16:creationId xmlns:a16="http://schemas.microsoft.com/office/drawing/2014/main" id="{07FFADF2-E844-4D12-8C04-1B18F7815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52360" y="4937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23</xdr:row>
      <xdr:rowOff>0</xdr:rowOff>
    </xdr:from>
    <xdr:ext cx="7620" cy="7620"/>
    <xdr:pic>
      <xdr:nvPicPr>
        <xdr:cNvPr id="56" name="Imagem 55" descr="upkeep">
          <a:extLst>
            <a:ext uri="{FF2B5EF4-FFF2-40B4-BE49-F238E27FC236}">
              <a16:creationId xmlns:a16="http://schemas.microsoft.com/office/drawing/2014/main" id="{CF79D469-AFB0-4037-8F95-792732FF5B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52360" y="4937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23</xdr:row>
      <xdr:rowOff>0</xdr:rowOff>
    </xdr:from>
    <xdr:ext cx="7620" cy="7620"/>
    <xdr:pic>
      <xdr:nvPicPr>
        <xdr:cNvPr id="57" name="Imagem 56" descr="Time">
          <a:extLst>
            <a:ext uri="{FF2B5EF4-FFF2-40B4-BE49-F238E27FC236}">
              <a16:creationId xmlns:a16="http://schemas.microsoft.com/office/drawing/2014/main" id="{1B422E3E-9CCC-447A-AE19-B54C0E9D5E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61960" y="49377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24</xdr:row>
      <xdr:rowOff>0</xdr:rowOff>
    </xdr:from>
    <xdr:ext cx="7620" cy="7620"/>
    <xdr:pic>
      <xdr:nvPicPr>
        <xdr:cNvPr id="58" name="Imagem 57">
          <a:extLst>
            <a:ext uri="{FF2B5EF4-FFF2-40B4-BE49-F238E27FC236}">
              <a16:creationId xmlns:a16="http://schemas.microsoft.com/office/drawing/2014/main" id="{AED7C3D1-7927-46D8-82AE-EC88E60D9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206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24</xdr:row>
      <xdr:rowOff>0</xdr:rowOff>
    </xdr:from>
    <xdr:ext cx="7620" cy="7620"/>
    <xdr:pic>
      <xdr:nvPicPr>
        <xdr:cNvPr id="59" name="Imagem 58">
          <a:extLst>
            <a:ext uri="{FF2B5EF4-FFF2-40B4-BE49-F238E27FC236}">
              <a16:creationId xmlns:a16="http://schemas.microsoft.com/office/drawing/2014/main" id="{A874ADC1-24A8-4F25-A4A0-92B40B7B14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035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25</xdr:row>
      <xdr:rowOff>0</xdr:rowOff>
    </xdr:from>
    <xdr:ext cx="7620" cy="7620"/>
    <xdr:pic>
      <xdr:nvPicPr>
        <xdr:cNvPr id="60" name="Imagem 59">
          <a:extLst>
            <a:ext uri="{FF2B5EF4-FFF2-40B4-BE49-F238E27FC236}">
              <a16:creationId xmlns:a16="http://schemas.microsoft.com/office/drawing/2014/main" id="{44DEE1FA-5F0E-46FC-A561-41E59C4A26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864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26</xdr:row>
      <xdr:rowOff>0</xdr:rowOff>
    </xdr:from>
    <xdr:ext cx="7620" cy="7620"/>
    <xdr:pic>
      <xdr:nvPicPr>
        <xdr:cNvPr id="61" name="Imagem 60">
          <a:extLst>
            <a:ext uri="{FF2B5EF4-FFF2-40B4-BE49-F238E27FC236}">
              <a16:creationId xmlns:a16="http://schemas.microsoft.com/office/drawing/2014/main" id="{D5161A7A-A9F6-45F2-870D-F8DB4CCCF6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692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27</xdr:row>
      <xdr:rowOff>0</xdr:rowOff>
    </xdr:from>
    <xdr:ext cx="7620" cy="7620"/>
    <xdr:pic>
      <xdr:nvPicPr>
        <xdr:cNvPr id="62" name="Imagem 61">
          <a:extLst>
            <a:ext uri="{FF2B5EF4-FFF2-40B4-BE49-F238E27FC236}">
              <a16:creationId xmlns:a16="http://schemas.microsoft.com/office/drawing/2014/main" id="{BF797483-48D5-4176-97C4-BF42FE1C6C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521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28</xdr:row>
      <xdr:rowOff>0</xdr:rowOff>
    </xdr:from>
    <xdr:ext cx="7620" cy="7620"/>
    <xdr:pic>
      <xdr:nvPicPr>
        <xdr:cNvPr id="63" name="Imagem 62">
          <a:extLst>
            <a:ext uri="{FF2B5EF4-FFF2-40B4-BE49-F238E27FC236}">
              <a16:creationId xmlns:a16="http://schemas.microsoft.com/office/drawing/2014/main" id="{5822B9AC-EF88-46AD-98CD-408ED28732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350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29</xdr:row>
      <xdr:rowOff>0</xdr:rowOff>
    </xdr:from>
    <xdr:ext cx="7620" cy="7620"/>
    <xdr:pic>
      <xdr:nvPicPr>
        <xdr:cNvPr id="64" name="Imagem 63">
          <a:extLst>
            <a:ext uri="{FF2B5EF4-FFF2-40B4-BE49-F238E27FC236}">
              <a16:creationId xmlns:a16="http://schemas.microsoft.com/office/drawing/2014/main" id="{96A77FE9-842B-4F36-A0EA-4D0A7EF4E9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179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30</xdr:row>
      <xdr:rowOff>0</xdr:rowOff>
    </xdr:from>
    <xdr:ext cx="7620" cy="7620"/>
    <xdr:pic>
      <xdr:nvPicPr>
        <xdr:cNvPr id="65" name="Imagem 64">
          <a:extLst>
            <a:ext uri="{FF2B5EF4-FFF2-40B4-BE49-F238E27FC236}">
              <a16:creationId xmlns:a16="http://schemas.microsoft.com/office/drawing/2014/main" id="{66FFF792-7885-434D-B41D-F3ECE85556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008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31</xdr:row>
      <xdr:rowOff>0</xdr:rowOff>
    </xdr:from>
    <xdr:ext cx="7620" cy="7620"/>
    <xdr:pic>
      <xdr:nvPicPr>
        <xdr:cNvPr id="66" name="Imagem 65">
          <a:extLst>
            <a:ext uri="{FF2B5EF4-FFF2-40B4-BE49-F238E27FC236}">
              <a16:creationId xmlns:a16="http://schemas.microsoft.com/office/drawing/2014/main" id="{352752BA-E87F-4D02-AA76-D6FCAB3B77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836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32</xdr:row>
      <xdr:rowOff>0</xdr:rowOff>
    </xdr:from>
    <xdr:ext cx="7620" cy="7620"/>
    <xdr:pic>
      <xdr:nvPicPr>
        <xdr:cNvPr id="67" name="Imagem 66">
          <a:extLst>
            <a:ext uri="{FF2B5EF4-FFF2-40B4-BE49-F238E27FC236}">
              <a16:creationId xmlns:a16="http://schemas.microsoft.com/office/drawing/2014/main" id="{4F8F8861-3C27-45B3-919D-3FF1A22FD8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665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34</xdr:row>
      <xdr:rowOff>0</xdr:rowOff>
    </xdr:from>
    <xdr:ext cx="7620" cy="7620"/>
    <xdr:pic>
      <xdr:nvPicPr>
        <xdr:cNvPr id="68" name="Imagem 67" descr="offense">
          <a:extLst>
            <a:ext uri="{FF2B5EF4-FFF2-40B4-BE49-F238E27FC236}">
              <a16:creationId xmlns:a16="http://schemas.microsoft.com/office/drawing/2014/main" id="{94728EF9-E492-4B33-A1FA-C537781A6F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65960" y="7315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34</xdr:row>
      <xdr:rowOff>0</xdr:rowOff>
    </xdr:from>
    <xdr:ext cx="7620" cy="7620"/>
    <xdr:pic>
      <xdr:nvPicPr>
        <xdr:cNvPr id="69" name="Imagem 68" descr="Defense value against infantry">
          <a:extLst>
            <a:ext uri="{FF2B5EF4-FFF2-40B4-BE49-F238E27FC236}">
              <a16:creationId xmlns:a16="http://schemas.microsoft.com/office/drawing/2014/main" id="{F5651C49-5030-4CB1-BCFC-8F885C26F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5560" y="7315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34</xdr:row>
      <xdr:rowOff>0</xdr:rowOff>
    </xdr:from>
    <xdr:ext cx="7620" cy="7620"/>
    <xdr:pic>
      <xdr:nvPicPr>
        <xdr:cNvPr id="70" name="Imagem 69" descr="Defense value against cavalry">
          <a:extLst>
            <a:ext uri="{FF2B5EF4-FFF2-40B4-BE49-F238E27FC236}">
              <a16:creationId xmlns:a16="http://schemas.microsoft.com/office/drawing/2014/main" id="{A3A9B89C-DF8B-4B51-B4B0-715FE479C7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5160" y="7315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34</xdr:row>
      <xdr:rowOff>0</xdr:rowOff>
    </xdr:from>
    <xdr:ext cx="7620" cy="7620"/>
    <xdr:pic>
      <xdr:nvPicPr>
        <xdr:cNvPr id="71" name="Imagem 70" descr="Speed">
          <a:extLst>
            <a:ext uri="{FF2B5EF4-FFF2-40B4-BE49-F238E27FC236}">
              <a16:creationId xmlns:a16="http://schemas.microsoft.com/office/drawing/2014/main" id="{FD36ECFD-48B4-461E-99E8-93989F1767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4760" y="7315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34</xdr:row>
      <xdr:rowOff>0</xdr:rowOff>
    </xdr:from>
    <xdr:ext cx="7620" cy="7620"/>
    <xdr:pic>
      <xdr:nvPicPr>
        <xdr:cNvPr id="72" name="Imagem 71" descr="Capacity">
          <a:extLst>
            <a:ext uri="{FF2B5EF4-FFF2-40B4-BE49-F238E27FC236}">
              <a16:creationId xmlns:a16="http://schemas.microsoft.com/office/drawing/2014/main" id="{6EAB884D-095B-41DF-9C1F-017468006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04360" y="7315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34</xdr:row>
      <xdr:rowOff>0</xdr:rowOff>
    </xdr:from>
    <xdr:ext cx="7620" cy="7620"/>
    <xdr:pic>
      <xdr:nvPicPr>
        <xdr:cNvPr id="73" name="Imagem 72" descr="Lumber">
          <a:extLst>
            <a:ext uri="{FF2B5EF4-FFF2-40B4-BE49-F238E27FC236}">
              <a16:creationId xmlns:a16="http://schemas.microsoft.com/office/drawing/2014/main" id="{3863473F-C0EC-4D2C-B121-57949ED130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3960" y="7315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34</xdr:row>
      <xdr:rowOff>0</xdr:rowOff>
    </xdr:from>
    <xdr:ext cx="7620" cy="7620"/>
    <xdr:pic>
      <xdr:nvPicPr>
        <xdr:cNvPr id="74" name="Imagem 73" descr="Clay">
          <a:extLst>
            <a:ext uri="{FF2B5EF4-FFF2-40B4-BE49-F238E27FC236}">
              <a16:creationId xmlns:a16="http://schemas.microsoft.com/office/drawing/2014/main" id="{9E62B480-D4D7-4190-BCBE-D60C2519F9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23560" y="7315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</xdr:col>
      <xdr:colOff>0</xdr:colOff>
      <xdr:row>34</xdr:row>
      <xdr:rowOff>0</xdr:rowOff>
    </xdr:from>
    <xdr:ext cx="7620" cy="7620"/>
    <xdr:pic>
      <xdr:nvPicPr>
        <xdr:cNvPr id="75" name="Imagem 74" descr="Iron">
          <a:extLst>
            <a:ext uri="{FF2B5EF4-FFF2-40B4-BE49-F238E27FC236}">
              <a16:creationId xmlns:a16="http://schemas.microsoft.com/office/drawing/2014/main" id="{8DA3716A-1A09-43DC-872A-CC2043E794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33160" y="7315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0</xdr:colOff>
      <xdr:row>34</xdr:row>
      <xdr:rowOff>0</xdr:rowOff>
    </xdr:from>
    <xdr:ext cx="7620" cy="7620"/>
    <xdr:pic>
      <xdr:nvPicPr>
        <xdr:cNvPr id="76" name="Imagem 75" descr="Crop">
          <a:extLst>
            <a:ext uri="{FF2B5EF4-FFF2-40B4-BE49-F238E27FC236}">
              <a16:creationId xmlns:a16="http://schemas.microsoft.com/office/drawing/2014/main" id="{51B140AF-BEF3-4EF4-9011-AAC1B7628A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2760" y="7315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34</xdr:row>
      <xdr:rowOff>0</xdr:rowOff>
    </xdr:from>
    <xdr:ext cx="7620" cy="7620"/>
    <xdr:pic>
      <xdr:nvPicPr>
        <xdr:cNvPr id="77" name="Imagem 76" descr="Total cost">
          <a:extLst>
            <a:ext uri="{FF2B5EF4-FFF2-40B4-BE49-F238E27FC236}">
              <a16:creationId xmlns:a16="http://schemas.microsoft.com/office/drawing/2014/main" id="{062E8CC3-A654-4781-A24E-57CD0FD0A3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52360" y="7315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34</xdr:row>
      <xdr:rowOff>0</xdr:rowOff>
    </xdr:from>
    <xdr:ext cx="7620" cy="7620"/>
    <xdr:pic>
      <xdr:nvPicPr>
        <xdr:cNvPr id="78" name="Imagem 77" descr="upkeep">
          <a:extLst>
            <a:ext uri="{FF2B5EF4-FFF2-40B4-BE49-F238E27FC236}">
              <a16:creationId xmlns:a16="http://schemas.microsoft.com/office/drawing/2014/main" id="{0307899F-196B-4C5C-A27F-E064DB4021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52360" y="7315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34</xdr:row>
      <xdr:rowOff>0</xdr:rowOff>
    </xdr:from>
    <xdr:ext cx="7620" cy="7620"/>
    <xdr:pic>
      <xdr:nvPicPr>
        <xdr:cNvPr id="79" name="Imagem 78" descr="Time">
          <a:extLst>
            <a:ext uri="{FF2B5EF4-FFF2-40B4-BE49-F238E27FC236}">
              <a16:creationId xmlns:a16="http://schemas.microsoft.com/office/drawing/2014/main" id="{D2AF2439-6180-4F59-8001-3BF2EBF08E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61960" y="7315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35</xdr:row>
      <xdr:rowOff>0</xdr:rowOff>
    </xdr:from>
    <xdr:ext cx="7620" cy="7620"/>
    <xdr:pic>
      <xdr:nvPicPr>
        <xdr:cNvPr id="80" name="Imagem 79">
          <a:extLst>
            <a:ext uri="{FF2B5EF4-FFF2-40B4-BE49-F238E27FC236}">
              <a16:creationId xmlns:a16="http://schemas.microsoft.com/office/drawing/2014/main" id="{C1E475D8-C47D-4F66-B67B-71FD47629F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980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35</xdr:row>
      <xdr:rowOff>0</xdr:rowOff>
    </xdr:from>
    <xdr:ext cx="7620" cy="7620"/>
    <xdr:pic>
      <xdr:nvPicPr>
        <xdr:cNvPr id="81" name="Imagem 80">
          <a:extLst>
            <a:ext uri="{FF2B5EF4-FFF2-40B4-BE49-F238E27FC236}">
              <a16:creationId xmlns:a16="http://schemas.microsoft.com/office/drawing/2014/main" id="{9E5E8BAB-4995-4CD1-9353-8B60533FCA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809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36</xdr:row>
      <xdr:rowOff>0</xdr:rowOff>
    </xdr:from>
    <xdr:ext cx="7620" cy="7620"/>
    <xdr:pic>
      <xdr:nvPicPr>
        <xdr:cNvPr id="82" name="Imagem 81">
          <a:extLst>
            <a:ext uri="{FF2B5EF4-FFF2-40B4-BE49-F238E27FC236}">
              <a16:creationId xmlns:a16="http://schemas.microsoft.com/office/drawing/2014/main" id="{A49FA76E-777A-4A58-9D61-FE094F7449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638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37</xdr:row>
      <xdr:rowOff>0</xdr:rowOff>
    </xdr:from>
    <xdr:ext cx="7620" cy="7620"/>
    <xdr:pic>
      <xdr:nvPicPr>
        <xdr:cNvPr id="83" name="Imagem 82">
          <a:extLst>
            <a:ext uri="{FF2B5EF4-FFF2-40B4-BE49-F238E27FC236}">
              <a16:creationId xmlns:a16="http://schemas.microsoft.com/office/drawing/2014/main" id="{AD816461-63E0-4947-B52C-CB30FAFBBA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467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38</xdr:row>
      <xdr:rowOff>0</xdr:rowOff>
    </xdr:from>
    <xdr:ext cx="7620" cy="7620"/>
    <xdr:pic>
      <xdr:nvPicPr>
        <xdr:cNvPr id="84" name="Imagem 83">
          <a:extLst>
            <a:ext uri="{FF2B5EF4-FFF2-40B4-BE49-F238E27FC236}">
              <a16:creationId xmlns:a16="http://schemas.microsoft.com/office/drawing/2014/main" id="{278A6F1F-5A1E-4D5F-8F70-2D7A2CFCCD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296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39</xdr:row>
      <xdr:rowOff>0</xdr:rowOff>
    </xdr:from>
    <xdr:ext cx="7620" cy="7620"/>
    <xdr:pic>
      <xdr:nvPicPr>
        <xdr:cNvPr id="85" name="Imagem 84">
          <a:extLst>
            <a:ext uri="{FF2B5EF4-FFF2-40B4-BE49-F238E27FC236}">
              <a16:creationId xmlns:a16="http://schemas.microsoft.com/office/drawing/2014/main" id="{86E49A52-ADD7-453F-8004-EB518016E7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124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40</xdr:row>
      <xdr:rowOff>0</xdr:rowOff>
    </xdr:from>
    <xdr:ext cx="7620" cy="7620"/>
    <xdr:pic>
      <xdr:nvPicPr>
        <xdr:cNvPr id="86" name="Imagem 85">
          <a:extLst>
            <a:ext uri="{FF2B5EF4-FFF2-40B4-BE49-F238E27FC236}">
              <a16:creationId xmlns:a16="http://schemas.microsoft.com/office/drawing/2014/main" id="{79FE4B84-3656-457B-B6E0-D71722E77C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953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41</xdr:row>
      <xdr:rowOff>0</xdr:rowOff>
    </xdr:from>
    <xdr:ext cx="7620" cy="7620"/>
    <xdr:pic>
      <xdr:nvPicPr>
        <xdr:cNvPr id="87" name="Imagem 86">
          <a:extLst>
            <a:ext uri="{FF2B5EF4-FFF2-40B4-BE49-F238E27FC236}">
              <a16:creationId xmlns:a16="http://schemas.microsoft.com/office/drawing/2014/main" id="{1EE44237-F683-4CAF-B101-27F12B1A3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782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42</xdr:row>
      <xdr:rowOff>0</xdr:rowOff>
    </xdr:from>
    <xdr:ext cx="7620" cy="7620"/>
    <xdr:pic>
      <xdr:nvPicPr>
        <xdr:cNvPr id="88" name="Imagem 87">
          <a:extLst>
            <a:ext uri="{FF2B5EF4-FFF2-40B4-BE49-F238E27FC236}">
              <a16:creationId xmlns:a16="http://schemas.microsoft.com/office/drawing/2014/main" id="{BEC95328-F5E2-4ADA-8115-5DF45AF863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611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43</xdr:row>
      <xdr:rowOff>0</xdr:rowOff>
    </xdr:from>
    <xdr:ext cx="7620" cy="7620"/>
    <xdr:pic>
      <xdr:nvPicPr>
        <xdr:cNvPr id="89" name="Imagem 88">
          <a:extLst>
            <a:ext uri="{FF2B5EF4-FFF2-40B4-BE49-F238E27FC236}">
              <a16:creationId xmlns:a16="http://schemas.microsoft.com/office/drawing/2014/main" id="{B7D18D35-A8B0-4BB2-9753-F802C18A84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44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0</xdr:colOff>
      <xdr:row>13</xdr:row>
      <xdr:rowOff>0</xdr:rowOff>
    </xdr:from>
    <xdr:to>
      <xdr:col>0</xdr:col>
      <xdr:colOff>7620</xdr:colOff>
      <xdr:row>13</xdr:row>
      <xdr:rowOff>7620</xdr:rowOff>
    </xdr:to>
    <xdr:pic>
      <xdr:nvPicPr>
        <xdr:cNvPr id="90" name="Imagem 89">
          <a:extLst>
            <a:ext uri="{FF2B5EF4-FFF2-40B4-BE49-F238E27FC236}">
              <a16:creationId xmlns:a16="http://schemas.microsoft.com/office/drawing/2014/main" id="{2A9D0CCD-26F4-42AF-A370-197AC97911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3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7620</xdr:colOff>
      <xdr:row>13</xdr:row>
      <xdr:rowOff>7620</xdr:rowOff>
    </xdr:to>
    <xdr:pic>
      <xdr:nvPicPr>
        <xdr:cNvPr id="91" name="Imagem 90">
          <a:extLst>
            <a:ext uri="{FF2B5EF4-FFF2-40B4-BE49-F238E27FC236}">
              <a16:creationId xmlns:a16="http://schemas.microsoft.com/office/drawing/2014/main" id="{94B2D530-F37A-4D8A-AB74-62A10A42BB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260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7620</xdr:colOff>
      <xdr:row>14</xdr:row>
      <xdr:rowOff>7620</xdr:rowOff>
    </xdr:to>
    <xdr:pic>
      <xdr:nvPicPr>
        <xdr:cNvPr id="92" name="Imagem 91">
          <a:extLst>
            <a:ext uri="{FF2B5EF4-FFF2-40B4-BE49-F238E27FC236}">
              <a16:creationId xmlns:a16="http://schemas.microsoft.com/office/drawing/2014/main" id="{CEFF8F5E-AFC1-46C8-A517-862F5CD217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089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7620</xdr:colOff>
      <xdr:row>15</xdr:row>
      <xdr:rowOff>7620</xdr:rowOff>
    </xdr:to>
    <xdr:pic>
      <xdr:nvPicPr>
        <xdr:cNvPr id="93" name="Imagem 92">
          <a:extLst>
            <a:ext uri="{FF2B5EF4-FFF2-40B4-BE49-F238E27FC236}">
              <a16:creationId xmlns:a16="http://schemas.microsoft.com/office/drawing/2014/main" id="{17CC3BF2-BD6F-4E3F-80BE-870545B31F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918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7620</xdr:colOff>
      <xdr:row>16</xdr:row>
      <xdr:rowOff>7620</xdr:rowOff>
    </xdr:to>
    <xdr:pic>
      <xdr:nvPicPr>
        <xdr:cNvPr id="94" name="Imagem 93">
          <a:extLst>
            <a:ext uri="{FF2B5EF4-FFF2-40B4-BE49-F238E27FC236}">
              <a16:creationId xmlns:a16="http://schemas.microsoft.com/office/drawing/2014/main" id="{78A7C630-EBB9-4BF8-82E2-96AF2FD467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747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7620</xdr:colOff>
      <xdr:row>17</xdr:row>
      <xdr:rowOff>7620</xdr:rowOff>
    </xdr:to>
    <xdr:pic>
      <xdr:nvPicPr>
        <xdr:cNvPr id="95" name="Imagem 94">
          <a:extLst>
            <a:ext uri="{FF2B5EF4-FFF2-40B4-BE49-F238E27FC236}">
              <a16:creationId xmlns:a16="http://schemas.microsoft.com/office/drawing/2014/main" id="{FD5D3DBE-1D02-4AD6-8D9A-4823DD6F74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76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7620</xdr:colOff>
      <xdr:row>18</xdr:row>
      <xdr:rowOff>7620</xdr:rowOff>
    </xdr:to>
    <xdr:pic>
      <xdr:nvPicPr>
        <xdr:cNvPr id="96" name="Imagem 95">
          <a:extLst>
            <a:ext uri="{FF2B5EF4-FFF2-40B4-BE49-F238E27FC236}">
              <a16:creationId xmlns:a16="http://schemas.microsoft.com/office/drawing/2014/main" id="{3B864C70-E346-48E1-B184-EC2C751E2A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404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7620</xdr:colOff>
      <xdr:row>19</xdr:row>
      <xdr:rowOff>7620</xdr:rowOff>
    </xdr:to>
    <xdr:pic>
      <xdr:nvPicPr>
        <xdr:cNvPr id="97" name="Imagem 96">
          <a:extLst>
            <a:ext uri="{FF2B5EF4-FFF2-40B4-BE49-F238E27FC236}">
              <a16:creationId xmlns:a16="http://schemas.microsoft.com/office/drawing/2014/main" id="{A8499014-A297-4E35-AA4B-755F7404B5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233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7620</xdr:colOff>
      <xdr:row>20</xdr:row>
      <xdr:rowOff>7620</xdr:rowOff>
    </xdr:to>
    <xdr:pic>
      <xdr:nvPicPr>
        <xdr:cNvPr id="98" name="Imagem 97">
          <a:extLst>
            <a:ext uri="{FF2B5EF4-FFF2-40B4-BE49-F238E27FC236}">
              <a16:creationId xmlns:a16="http://schemas.microsoft.com/office/drawing/2014/main" id="{EDE18766-C817-48D9-9640-CDED8EA693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062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7620</xdr:colOff>
      <xdr:row>21</xdr:row>
      <xdr:rowOff>7620</xdr:rowOff>
    </xdr:to>
    <xdr:pic>
      <xdr:nvPicPr>
        <xdr:cNvPr id="99" name="Imagem 98">
          <a:extLst>
            <a:ext uri="{FF2B5EF4-FFF2-40B4-BE49-F238E27FC236}">
              <a16:creationId xmlns:a16="http://schemas.microsoft.com/office/drawing/2014/main" id="{18FEFA3F-F490-46CF-9D17-1C0DFEA107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891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7620</xdr:colOff>
      <xdr:row>24</xdr:row>
      <xdr:rowOff>7620</xdr:rowOff>
    </xdr:to>
    <xdr:pic>
      <xdr:nvPicPr>
        <xdr:cNvPr id="100" name="Imagem 99">
          <a:extLst>
            <a:ext uri="{FF2B5EF4-FFF2-40B4-BE49-F238E27FC236}">
              <a16:creationId xmlns:a16="http://schemas.microsoft.com/office/drawing/2014/main" id="{89281860-E2E3-4091-8B1B-75A63DF1E6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206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7620</xdr:colOff>
      <xdr:row>24</xdr:row>
      <xdr:rowOff>7620</xdr:rowOff>
    </xdr:to>
    <xdr:pic>
      <xdr:nvPicPr>
        <xdr:cNvPr id="101" name="Imagem 100">
          <a:extLst>
            <a:ext uri="{FF2B5EF4-FFF2-40B4-BE49-F238E27FC236}">
              <a16:creationId xmlns:a16="http://schemas.microsoft.com/office/drawing/2014/main" id="{12A94D70-45B0-482A-8AAE-73D08F91FB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035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7620</xdr:colOff>
      <xdr:row>25</xdr:row>
      <xdr:rowOff>7620</xdr:rowOff>
    </xdr:to>
    <xdr:pic>
      <xdr:nvPicPr>
        <xdr:cNvPr id="102" name="Imagem 101">
          <a:extLst>
            <a:ext uri="{FF2B5EF4-FFF2-40B4-BE49-F238E27FC236}">
              <a16:creationId xmlns:a16="http://schemas.microsoft.com/office/drawing/2014/main" id="{3A0FB841-7133-4618-96D7-024B4B0FC0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864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7620</xdr:colOff>
      <xdr:row>26</xdr:row>
      <xdr:rowOff>7620</xdr:rowOff>
    </xdr:to>
    <xdr:pic>
      <xdr:nvPicPr>
        <xdr:cNvPr id="103" name="Imagem 102">
          <a:extLst>
            <a:ext uri="{FF2B5EF4-FFF2-40B4-BE49-F238E27FC236}">
              <a16:creationId xmlns:a16="http://schemas.microsoft.com/office/drawing/2014/main" id="{C41DC28F-F390-48C1-B27E-9A8096EA8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692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7620</xdr:colOff>
      <xdr:row>27</xdr:row>
      <xdr:rowOff>7620</xdr:rowOff>
    </xdr:to>
    <xdr:pic>
      <xdr:nvPicPr>
        <xdr:cNvPr id="104" name="Imagem 103">
          <a:extLst>
            <a:ext uri="{FF2B5EF4-FFF2-40B4-BE49-F238E27FC236}">
              <a16:creationId xmlns:a16="http://schemas.microsoft.com/office/drawing/2014/main" id="{A47CF58A-747F-466F-8866-97673D5774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521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7620</xdr:colOff>
      <xdr:row>28</xdr:row>
      <xdr:rowOff>7620</xdr:rowOff>
    </xdr:to>
    <xdr:pic>
      <xdr:nvPicPr>
        <xdr:cNvPr id="105" name="Imagem 104">
          <a:extLst>
            <a:ext uri="{FF2B5EF4-FFF2-40B4-BE49-F238E27FC236}">
              <a16:creationId xmlns:a16="http://schemas.microsoft.com/office/drawing/2014/main" id="{B55B4275-D6ED-4CE1-B337-F125BEDFAC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350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7620</xdr:colOff>
      <xdr:row>29</xdr:row>
      <xdr:rowOff>7620</xdr:rowOff>
    </xdr:to>
    <xdr:pic>
      <xdr:nvPicPr>
        <xdr:cNvPr id="106" name="Imagem 105">
          <a:extLst>
            <a:ext uri="{FF2B5EF4-FFF2-40B4-BE49-F238E27FC236}">
              <a16:creationId xmlns:a16="http://schemas.microsoft.com/office/drawing/2014/main" id="{D5CCBB81-0378-4492-A162-8A087D6703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179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7620</xdr:colOff>
      <xdr:row>30</xdr:row>
      <xdr:rowOff>7620</xdr:rowOff>
    </xdr:to>
    <xdr:pic>
      <xdr:nvPicPr>
        <xdr:cNvPr id="107" name="Imagem 106">
          <a:extLst>
            <a:ext uri="{FF2B5EF4-FFF2-40B4-BE49-F238E27FC236}">
              <a16:creationId xmlns:a16="http://schemas.microsoft.com/office/drawing/2014/main" id="{B40DC2DC-3CF1-464C-918C-D4E0FB1E53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008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7620</xdr:colOff>
      <xdr:row>31</xdr:row>
      <xdr:rowOff>7620</xdr:rowOff>
    </xdr:to>
    <xdr:pic>
      <xdr:nvPicPr>
        <xdr:cNvPr id="108" name="Imagem 107">
          <a:extLst>
            <a:ext uri="{FF2B5EF4-FFF2-40B4-BE49-F238E27FC236}">
              <a16:creationId xmlns:a16="http://schemas.microsoft.com/office/drawing/2014/main" id="{FE90892B-BD4C-41B2-B00F-4DF7F372EC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836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7620</xdr:colOff>
      <xdr:row>32</xdr:row>
      <xdr:rowOff>7620</xdr:rowOff>
    </xdr:to>
    <xdr:pic>
      <xdr:nvPicPr>
        <xdr:cNvPr id="109" name="Imagem 108">
          <a:extLst>
            <a:ext uri="{FF2B5EF4-FFF2-40B4-BE49-F238E27FC236}">
              <a16:creationId xmlns:a16="http://schemas.microsoft.com/office/drawing/2014/main" id="{BF2823A5-3C50-4ED3-8536-98BA87CC6A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665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7620</xdr:colOff>
      <xdr:row>35</xdr:row>
      <xdr:rowOff>7620</xdr:rowOff>
    </xdr:to>
    <xdr:pic>
      <xdr:nvPicPr>
        <xdr:cNvPr id="110" name="Imagem 109">
          <a:extLst>
            <a:ext uri="{FF2B5EF4-FFF2-40B4-BE49-F238E27FC236}">
              <a16:creationId xmlns:a16="http://schemas.microsoft.com/office/drawing/2014/main" id="{EE28D674-EDB5-40FC-834A-196D3FA138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980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7620</xdr:colOff>
      <xdr:row>35</xdr:row>
      <xdr:rowOff>7620</xdr:rowOff>
    </xdr:to>
    <xdr:pic>
      <xdr:nvPicPr>
        <xdr:cNvPr id="111" name="Imagem 110">
          <a:extLst>
            <a:ext uri="{FF2B5EF4-FFF2-40B4-BE49-F238E27FC236}">
              <a16:creationId xmlns:a16="http://schemas.microsoft.com/office/drawing/2014/main" id="{444989BA-6B4D-4962-8FB9-372F99FC53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809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7620</xdr:colOff>
      <xdr:row>36</xdr:row>
      <xdr:rowOff>7620</xdr:rowOff>
    </xdr:to>
    <xdr:pic>
      <xdr:nvPicPr>
        <xdr:cNvPr id="112" name="Imagem 111">
          <a:extLst>
            <a:ext uri="{FF2B5EF4-FFF2-40B4-BE49-F238E27FC236}">
              <a16:creationId xmlns:a16="http://schemas.microsoft.com/office/drawing/2014/main" id="{0472EB07-5385-462A-8DFA-39D214D554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638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7620</xdr:colOff>
      <xdr:row>37</xdr:row>
      <xdr:rowOff>7620</xdr:rowOff>
    </xdr:to>
    <xdr:pic>
      <xdr:nvPicPr>
        <xdr:cNvPr id="113" name="Imagem 112">
          <a:extLst>
            <a:ext uri="{FF2B5EF4-FFF2-40B4-BE49-F238E27FC236}">
              <a16:creationId xmlns:a16="http://schemas.microsoft.com/office/drawing/2014/main" id="{8513CF57-30BE-452E-9EFC-4979A1E73F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467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7620</xdr:colOff>
      <xdr:row>38</xdr:row>
      <xdr:rowOff>7620</xdr:rowOff>
    </xdr:to>
    <xdr:pic>
      <xdr:nvPicPr>
        <xdr:cNvPr id="114" name="Imagem 113">
          <a:extLst>
            <a:ext uri="{FF2B5EF4-FFF2-40B4-BE49-F238E27FC236}">
              <a16:creationId xmlns:a16="http://schemas.microsoft.com/office/drawing/2014/main" id="{5498CF7C-4AA1-49A9-8B27-9BFF921B79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296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7620</xdr:colOff>
      <xdr:row>39</xdr:row>
      <xdr:rowOff>7620</xdr:rowOff>
    </xdr:to>
    <xdr:pic>
      <xdr:nvPicPr>
        <xdr:cNvPr id="115" name="Imagem 114">
          <a:extLst>
            <a:ext uri="{FF2B5EF4-FFF2-40B4-BE49-F238E27FC236}">
              <a16:creationId xmlns:a16="http://schemas.microsoft.com/office/drawing/2014/main" id="{9049985B-0B90-4490-9D4F-4859281F2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124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7620</xdr:colOff>
      <xdr:row>40</xdr:row>
      <xdr:rowOff>7620</xdr:rowOff>
    </xdr:to>
    <xdr:pic>
      <xdr:nvPicPr>
        <xdr:cNvPr id="116" name="Imagem 115">
          <a:extLst>
            <a:ext uri="{FF2B5EF4-FFF2-40B4-BE49-F238E27FC236}">
              <a16:creationId xmlns:a16="http://schemas.microsoft.com/office/drawing/2014/main" id="{7B200454-2D49-42C3-9491-C3EF0D22F0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953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7620</xdr:colOff>
      <xdr:row>41</xdr:row>
      <xdr:rowOff>7620</xdr:rowOff>
    </xdr:to>
    <xdr:pic>
      <xdr:nvPicPr>
        <xdr:cNvPr id="117" name="Imagem 116">
          <a:extLst>
            <a:ext uri="{FF2B5EF4-FFF2-40B4-BE49-F238E27FC236}">
              <a16:creationId xmlns:a16="http://schemas.microsoft.com/office/drawing/2014/main" id="{278C7195-9515-4569-8278-7F6C456061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782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7620</xdr:colOff>
      <xdr:row>42</xdr:row>
      <xdr:rowOff>7620</xdr:rowOff>
    </xdr:to>
    <xdr:pic>
      <xdr:nvPicPr>
        <xdr:cNvPr id="118" name="Imagem 117">
          <a:extLst>
            <a:ext uri="{FF2B5EF4-FFF2-40B4-BE49-F238E27FC236}">
              <a16:creationId xmlns:a16="http://schemas.microsoft.com/office/drawing/2014/main" id="{C0FA8346-8639-4FF2-8E38-B78747C7A8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611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7620</xdr:colOff>
      <xdr:row>43</xdr:row>
      <xdr:rowOff>7620</xdr:rowOff>
    </xdr:to>
    <xdr:pic>
      <xdr:nvPicPr>
        <xdr:cNvPr id="119" name="Imagem 118">
          <a:extLst>
            <a:ext uri="{FF2B5EF4-FFF2-40B4-BE49-F238E27FC236}">
              <a16:creationId xmlns:a16="http://schemas.microsoft.com/office/drawing/2014/main" id="{4D7D7939-C972-43C6-A5C1-9FE91CF588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440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0</xdr:colOff>
      <xdr:row>4</xdr:row>
      <xdr:rowOff>0</xdr:rowOff>
    </xdr:from>
    <xdr:ext cx="7620" cy="7620"/>
    <xdr:pic>
      <xdr:nvPicPr>
        <xdr:cNvPr id="120" name="Imagem 119">
          <a:extLst>
            <a:ext uri="{FF2B5EF4-FFF2-40B4-BE49-F238E27FC236}">
              <a16:creationId xmlns:a16="http://schemas.microsoft.com/office/drawing/2014/main" id="{9A503B6A-6B9B-446F-A2CB-260778760E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44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5</xdr:row>
      <xdr:rowOff>0</xdr:rowOff>
    </xdr:from>
    <xdr:ext cx="7620" cy="7620"/>
    <xdr:pic>
      <xdr:nvPicPr>
        <xdr:cNvPr id="121" name="Imagem 120">
          <a:extLst>
            <a:ext uri="{FF2B5EF4-FFF2-40B4-BE49-F238E27FC236}">
              <a16:creationId xmlns:a16="http://schemas.microsoft.com/office/drawing/2014/main" id="{69C978EB-7207-4426-91F1-086E37D100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972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6</xdr:row>
      <xdr:rowOff>0</xdr:rowOff>
    </xdr:from>
    <xdr:ext cx="7620" cy="7620"/>
    <xdr:pic>
      <xdr:nvPicPr>
        <xdr:cNvPr id="122" name="Imagem 121">
          <a:extLst>
            <a:ext uri="{FF2B5EF4-FFF2-40B4-BE49-F238E27FC236}">
              <a16:creationId xmlns:a16="http://schemas.microsoft.com/office/drawing/2014/main" id="{74E6D91A-BEBE-491C-89E1-06E2A1F0E7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01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7</xdr:row>
      <xdr:rowOff>0</xdr:rowOff>
    </xdr:from>
    <xdr:ext cx="7620" cy="7620"/>
    <xdr:pic>
      <xdr:nvPicPr>
        <xdr:cNvPr id="123" name="Imagem 122">
          <a:extLst>
            <a:ext uri="{FF2B5EF4-FFF2-40B4-BE49-F238E27FC236}">
              <a16:creationId xmlns:a16="http://schemas.microsoft.com/office/drawing/2014/main" id="{DFF46D52-5302-43CF-B2F2-EC1CAC5419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30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8</xdr:row>
      <xdr:rowOff>0</xdr:rowOff>
    </xdr:from>
    <xdr:ext cx="7620" cy="7620"/>
    <xdr:pic>
      <xdr:nvPicPr>
        <xdr:cNvPr id="124" name="Imagem 123">
          <a:extLst>
            <a:ext uri="{FF2B5EF4-FFF2-40B4-BE49-F238E27FC236}">
              <a16:creationId xmlns:a16="http://schemas.microsoft.com/office/drawing/2014/main" id="{00387F3C-529A-4B1D-8DA2-650838A93C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59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9</xdr:row>
      <xdr:rowOff>0</xdr:rowOff>
    </xdr:from>
    <xdr:ext cx="7620" cy="7620"/>
    <xdr:pic>
      <xdr:nvPicPr>
        <xdr:cNvPr id="125" name="Imagem 124">
          <a:extLst>
            <a:ext uri="{FF2B5EF4-FFF2-40B4-BE49-F238E27FC236}">
              <a16:creationId xmlns:a16="http://schemas.microsoft.com/office/drawing/2014/main" id="{8E446D2E-C04E-4443-A6E9-C3CD9929A0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288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15</xdr:row>
      <xdr:rowOff>0</xdr:rowOff>
    </xdr:from>
    <xdr:ext cx="7620" cy="7620"/>
    <xdr:pic>
      <xdr:nvPicPr>
        <xdr:cNvPr id="126" name="Imagem 125">
          <a:extLst>
            <a:ext uri="{FF2B5EF4-FFF2-40B4-BE49-F238E27FC236}">
              <a16:creationId xmlns:a16="http://schemas.microsoft.com/office/drawing/2014/main" id="{CBD787FF-B7DB-4278-BBB3-0D8AFB7B1D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918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16</xdr:row>
      <xdr:rowOff>0</xdr:rowOff>
    </xdr:from>
    <xdr:ext cx="7620" cy="7620"/>
    <xdr:pic>
      <xdr:nvPicPr>
        <xdr:cNvPr id="127" name="Imagem 126">
          <a:extLst>
            <a:ext uri="{FF2B5EF4-FFF2-40B4-BE49-F238E27FC236}">
              <a16:creationId xmlns:a16="http://schemas.microsoft.com/office/drawing/2014/main" id="{A954A3F7-445B-42B9-826C-802176A2FB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747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17</xdr:row>
      <xdr:rowOff>0</xdr:rowOff>
    </xdr:from>
    <xdr:ext cx="7620" cy="7620"/>
    <xdr:pic>
      <xdr:nvPicPr>
        <xdr:cNvPr id="128" name="Imagem 127">
          <a:extLst>
            <a:ext uri="{FF2B5EF4-FFF2-40B4-BE49-F238E27FC236}">
              <a16:creationId xmlns:a16="http://schemas.microsoft.com/office/drawing/2014/main" id="{7CA9A45C-53B2-45D2-B779-B8549708B6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76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15</xdr:row>
      <xdr:rowOff>0</xdr:rowOff>
    </xdr:from>
    <xdr:ext cx="7620" cy="7620"/>
    <xdr:pic>
      <xdr:nvPicPr>
        <xdr:cNvPr id="129" name="Imagem 128">
          <a:extLst>
            <a:ext uri="{FF2B5EF4-FFF2-40B4-BE49-F238E27FC236}">
              <a16:creationId xmlns:a16="http://schemas.microsoft.com/office/drawing/2014/main" id="{227B870E-B561-4018-A60A-68888F0CDE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918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16</xdr:row>
      <xdr:rowOff>0</xdr:rowOff>
    </xdr:from>
    <xdr:ext cx="7620" cy="7620"/>
    <xdr:pic>
      <xdr:nvPicPr>
        <xdr:cNvPr id="130" name="Imagem 129">
          <a:extLst>
            <a:ext uri="{FF2B5EF4-FFF2-40B4-BE49-F238E27FC236}">
              <a16:creationId xmlns:a16="http://schemas.microsoft.com/office/drawing/2014/main" id="{B38B9A09-3DF0-4163-8718-770D41CD96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747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17</xdr:row>
      <xdr:rowOff>0</xdr:rowOff>
    </xdr:from>
    <xdr:ext cx="7620" cy="7620"/>
    <xdr:pic>
      <xdr:nvPicPr>
        <xdr:cNvPr id="131" name="Imagem 130">
          <a:extLst>
            <a:ext uri="{FF2B5EF4-FFF2-40B4-BE49-F238E27FC236}">
              <a16:creationId xmlns:a16="http://schemas.microsoft.com/office/drawing/2014/main" id="{6A72B199-8F18-4CFF-9888-17303628AC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76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18</xdr:row>
      <xdr:rowOff>0</xdr:rowOff>
    </xdr:from>
    <xdr:ext cx="7620" cy="7620"/>
    <xdr:pic>
      <xdr:nvPicPr>
        <xdr:cNvPr id="132" name="Imagem 131">
          <a:extLst>
            <a:ext uri="{FF2B5EF4-FFF2-40B4-BE49-F238E27FC236}">
              <a16:creationId xmlns:a16="http://schemas.microsoft.com/office/drawing/2014/main" id="{6B6B8B16-781F-44D3-B43E-90FB9A9A05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404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19</xdr:row>
      <xdr:rowOff>0</xdr:rowOff>
    </xdr:from>
    <xdr:ext cx="7620" cy="7620"/>
    <xdr:pic>
      <xdr:nvPicPr>
        <xdr:cNvPr id="133" name="Imagem 132">
          <a:extLst>
            <a:ext uri="{FF2B5EF4-FFF2-40B4-BE49-F238E27FC236}">
              <a16:creationId xmlns:a16="http://schemas.microsoft.com/office/drawing/2014/main" id="{81EE0E7B-0FFE-4A26-8320-B853D6BF5F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233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20</xdr:row>
      <xdr:rowOff>0</xdr:rowOff>
    </xdr:from>
    <xdr:ext cx="7620" cy="7620"/>
    <xdr:pic>
      <xdr:nvPicPr>
        <xdr:cNvPr id="134" name="Imagem 133">
          <a:extLst>
            <a:ext uri="{FF2B5EF4-FFF2-40B4-BE49-F238E27FC236}">
              <a16:creationId xmlns:a16="http://schemas.microsoft.com/office/drawing/2014/main" id="{1AEB465D-06F0-4884-90B8-144CE000FC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062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18</xdr:row>
      <xdr:rowOff>0</xdr:rowOff>
    </xdr:from>
    <xdr:ext cx="7620" cy="7620"/>
    <xdr:pic>
      <xdr:nvPicPr>
        <xdr:cNvPr id="135" name="Imagem 134">
          <a:extLst>
            <a:ext uri="{FF2B5EF4-FFF2-40B4-BE49-F238E27FC236}">
              <a16:creationId xmlns:a16="http://schemas.microsoft.com/office/drawing/2014/main" id="{3B5CFF45-C590-4111-905F-19D69A0A8B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404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19</xdr:row>
      <xdr:rowOff>0</xdr:rowOff>
    </xdr:from>
    <xdr:ext cx="7620" cy="7620"/>
    <xdr:pic>
      <xdr:nvPicPr>
        <xdr:cNvPr id="136" name="Imagem 135">
          <a:extLst>
            <a:ext uri="{FF2B5EF4-FFF2-40B4-BE49-F238E27FC236}">
              <a16:creationId xmlns:a16="http://schemas.microsoft.com/office/drawing/2014/main" id="{EC9C32E8-C98A-4AE8-BE61-833DFA4BB6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233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20</xdr:row>
      <xdr:rowOff>0</xdr:rowOff>
    </xdr:from>
    <xdr:ext cx="7620" cy="7620"/>
    <xdr:pic>
      <xdr:nvPicPr>
        <xdr:cNvPr id="137" name="Imagem 136">
          <a:extLst>
            <a:ext uri="{FF2B5EF4-FFF2-40B4-BE49-F238E27FC236}">
              <a16:creationId xmlns:a16="http://schemas.microsoft.com/office/drawing/2014/main" id="{40853DB0-3F2B-449F-87CA-02573BC5AA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062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26</xdr:row>
      <xdr:rowOff>0</xdr:rowOff>
    </xdr:from>
    <xdr:ext cx="7620" cy="7620"/>
    <xdr:pic>
      <xdr:nvPicPr>
        <xdr:cNvPr id="138" name="Imagem 137">
          <a:extLst>
            <a:ext uri="{FF2B5EF4-FFF2-40B4-BE49-F238E27FC236}">
              <a16:creationId xmlns:a16="http://schemas.microsoft.com/office/drawing/2014/main" id="{A8423741-D710-4F22-A2D6-ED9E2DC820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692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27</xdr:row>
      <xdr:rowOff>0</xdr:rowOff>
    </xdr:from>
    <xdr:ext cx="7620" cy="7620"/>
    <xdr:pic>
      <xdr:nvPicPr>
        <xdr:cNvPr id="139" name="Imagem 138">
          <a:extLst>
            <a:ext uri="{FF2B5EF4-FFF2-40B4-BE49-F238E27FC236}">
              <a16:creationId xmlns:a16="http://schemas.microsoft.com/office/drawing/2014/main" id="{4E672827-020B-452C-B0C1-F7B2F755E1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521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28</xdr:row>
      <xdr:rowOff>0</xdr:rowOff>
    </xdr:from>
    <xdr:ext cx="7620" cy="7620"/>
    <xdr:pic>
      <xdr:nvPicPr>
        <xdr:cNvPr id="140" name="Imagem 139">
          <a:extLst>
            <a:ext uri="{FF2B5EF4-FFF2-40B4-BE49-F238E27FC236}">
              <a16:creationId xmlns:a16="http://schemas.microsoft.com/office/drawing/2014/main" id="{28E5558E-640B-4F3B-9FCB-924E6A9334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350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26</xdr:row>
      <xdr:rowOff>0</xdr:rowOff>
    </xdr:from>
    <xdr:ext cx="7620" cy="7620"/>
    <xdr:pic>
      <xdr:nvPicPr>
        <xdr:cNvPr id="141" name="Imagem 140">
          <a:extLst>
            <a:ext uri="{FF2B5EF4-FFF2-40B4-BE49-F238E27FC236}">
              <a16:creationId xmlns:a16="http://schemas.microsoft.com/office/drawing/2014/main" id="{3C42418A-ABFD-4611-A1C6-87FEBBADAD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692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27</xdr:row>
      <xdr:rowOff>0</xdr:rowOff>
    </xdr:from>
    <xdr:ext cx="7620" cy="7620"/>
    <xdr:pic>
      <xdr:nvPicPr>
        <xdr:cNvPr id="142" name="Imagem 141">
          <a:extLst>
            <a:ext uri="{FF2B5EF4-FFF2-40B4-BE49-F238E27FC236}">
              <a16:creationId xmlns:a16="http://schemas.microsoft.com/office/drawing/2014/main" id="{0264D8ED-8F6D-407D-B2EB-365725D4AF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521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28</xdr:row>
      <xdr:rowOff>0</xdr:rowOff>
    </xdr:from>
    <xdr:ext cx="7620" cy="7620"/>
    <xdr:pic>
      <xdr:nvPicPr>
        <xdr:cNvPr id="143" name="Imagem 142">
          <a:extLst>
            <a:ext uri="{FF2B5EF4-FFF2-40B4-BE49-F238E27FC236}">
              <a16:creationId xmlns:a16="http://schemas.microsoft.com/office/drawing/2014/main" id="{823FD478-2BD9-454F-B6DD-92F985F027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350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29</xdr:row>
      <xdr:rowOff>0</xdr:rowOff>
    </xdr:from>
    <xdr:ext cx="7620" cy="7620"/>
    <xdr:pic>
      <xdr:nvPicPr>
        <xdr:cNvPr id="144" name="Imagem 143">
          <a:extLst>
            <a:ext uri="{FF2B5EF4-FFF2-40B4-BE49-F238E27FC236}">
              <a16:creationId xmlns:a16="http://schemas.microsoft.com/office/drawing/2014/main" id="{3ADD96BE-8B8B-451E-848F-5430C14D4B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179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30</xdr:row>
      <xdr:rowOff>0</xdr:rowOff>
    </xdr:from>
    <xdr:ext cx="7620" cy="7620"/>
    <xdr:pic>
      <xdr:nvPicPr>
        <xdr:cNvPr id="145" name="Imagem 144">
          <a:extLst>
            <a:ext uri="{FF2B5EF4-FFF2-40B4-BE49-F238E27FC236}">
              <a16:creationId xmlns:a16="http://schemas.microsoft.com/office/drawing/2014/main" id="{19EC901E-E646-495C-938E-2AE41EF71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008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31</xdr:row>
      <xdr:rowOff>0</xdr:rowOff>
    </xdr:from>
    <xdr:ext cx="7620" cy="7620"/>
    <xdr:pic>
      <xdr:nvPicPr>
        <xdr:cNvPr id="146" name="Imagem 145">
          <a:extLst>
            <a:ext uri="{FF2B5EF4-FFF2-40B4-BE49-F238E27FC236}">
              <a16:creationId xmlns:a16="http://schemas.microsoft.com/office/drawing/2014/main" id="{B4A783CB-9A2D-43BA-98B4-D7BC26EE04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836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29</xdr:row>
      <xdr:rowOff>0</xdr:rowOff>
    </xdr:from>
    <xdr:ext cx="7620" cy="7620"/>
    <xdr:pic>
      <xdr:nvPicPr>
        <xdr:cNvPr id="147" name="Imagem 146">
          <a:extLst>
            <a:ext uri="{FF2B5EF4-FFF2-40B4-BE49-F238E27FC236}">
              <a16:creationId xmlns:a16="http://schemas.microsoft.com/office/drawing/2014/main" id="{CC1EDEA0-EEC2-4FE8-B9B9-8D0452F492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179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30</xdr:row>
      <xdr:rowOff>0</xdr:rowOff>
    </xdr:from>
    <xdr:ext cx="7620" cy="7620"/>
    <xdr:pic>
      <xdr:nvPicPr>
        <xdr:cNvPr id="148" name="Imagem 147">
          <a:extLst>
            <a:ext uri="{FF2B5EF4-FFF2-40B4-BE49-F238E27FC236}">
              <a16:creationId xmlns:a16="http://schemas.microsoft.com/office/drawing/2014/main" id="{C46FB78E-0323-433D-8D50-00A39CE52B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008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31</xdr:row>
      <xdr:rowOff>0</xdr:rowOff>
    </xdr:from>
    <xdr:ext cx="7620" cy="7620"/>
    <xdr:pic>
      <xdr:nvPicPr>
        <xdr:cNvPr id="149" name="Imagem 148">
          <a:extLst>
            <a:ext uri="{FF2B5EF4-FFF2-40B4-BE49-F238E27FC236}">
              <a16:creationId xmlns:a16="http://schemas.microsoft.com/office/drawing/2014/main" id="{0AF2609C-3738-423E-BE9A-A4BB52A146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836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37</xdr:row>
      <xdr:rowOff>0</xdr:rowOff>
    </xdr:from>
    <xdr:ext cx="7620" cy="7620"/>
    <xdr:pic>
      <xdr:nvPicPr>
        <xdr:cNvPr id="150" name="Imagem 149">
          <a:extLst>
            <a:ext uri="{FF2B5EF4-FFF2-40B4-BE49-F238E27FC236}">
              <a16:creationId xmlns:a16="http://schemas.microsoft.com/office/drawing/2014/main" id="{AC3FC9CC-0F5F-4D38-9FF8-3031B87075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467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38</xdr:row>
      <xdr:rowOff>0</xdr:rowOff>
    </xdr:from>
    <xdr:ext cx="7620" cy="7620"/>
    <xdr:pic>
      <xdr:nvPicPr>
        <xdr:cNvPr id="151" name="Imagem 150">
          <a:extLst>
            <a:ext uri="{FF2B5EF4-FFF2-40B4-BE49-F238E27FC236}">
              <a16:creationId xmlns:a16="http://schemas.microsoft.com/office/drawing/2014/main" id="{5204AD0B-4BF1-439E-8B64-CD42C2A91A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296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39</xdr:row>
      <xdr:rowOff>0</xdr:rowOff>
    </xdr:from>
    <xdr:ext cx="7620" cy="7620"/>
    <xdr:pic>
      <xdr:nvPicPr>
        <xdr:cNvPr id="152" name="Imagem 151">
          <a:extLst>
            <a:ext uri="{FF2B5EF4-FFF2-40B4-BE49-F238E27FC236}">
              <a16:creationId xmlns:a16="http://schemas.microsoft.com/office/drawing/2014/main" id="{3C731143-A153-4F52-9C86-5E4D7D3512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124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37</xdr:row>
      <xdr:rowOff>0</xdr:rowOff>
    </xdr:from>
    <xdr:ext cx="7620" cy="7620"/>
    <xdr:pic>
      <xdr:nvPicPr>
        <xdr:cNvPr id="153" name="Imagem 152">
          <a:extLst>
            <a:ext uri="{FF2B5EF4-FFF2-40B4-BE49-F238E27FC236}">
              <a16:creationId xmlns:a16="http://schemas.microsoft.com/office/drawing/2014/main" id="{6A7F5AC0-F15C-4282-A63B-E40562F53C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467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38</xdr:row>
      <xdr:rowOff>0</xdr:rowOff>
    </xdr:from>
    <xdr:ext cx="7620" cy="7620"/>
    <xdr:pic>
      <xdr:nvPicPr>
        <xdr:cNvPr id="154" name="Imagem 153">
          <a:extLst>
            <a:ext uri="{FF2B5EF4-FFF2-40B4-BE49-F238E27FC236}">
              <a16:creationId xmlns:a16="http://schemas.microsoft.com/office/drawing/2014/main" id="{2B10C383-C488-4228-B584-E01DEED9F9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296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39</xdr:row>
      <xdr:rowOff>0</xdr:rowOff>
    </xdr:from>
    <xdr:ext cx="7620" cy="7620"/>
    <xdr:pic>
      <xdr:nvPicPr>
        <xdr:cNvPr id="155" name="Imagem 154">
          <a:extLst>
            <a:ext uri="{FF2B5EF4-FFF2-40B4-BE49-F238E27FC236}">
              <a16:creationId xmlns:a16="http://schemas.microsoft.com/office/drawing/2014/main" id="{C5E0D90D-4433-4F31-AF9B-156BD4AB4A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124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40</xdr:row>
      <xdr:rowOff>0</xdr:rowOff>
    </xdr:from>
    <xdr:ext cx="7620" cy="7620"/>
    <xdr:pic>
      <xdr:nvPicPr>
        <xdr:cNvPr id="156" name="Imagem 155">
          <a:extLst>
            <a:ext uri="{FF2B5EF4-FFF2-40B4-BE49-F238E27FC236}">
              <a16:creationId xmlns:a16="http://schemas.microsoft.com/office/drawing/2014/main" id="{3F749E45-E847-4FCB-97D3-0F9F3D001E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953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41</xdr:row>
      <xdr:rowOff>0</xdr:rowOff>
    </xdr:from>
    <xdr:ext cx="7620" cy="7620"/>
    <xdr:pic>
      <xdr:nvPicPr>
        <xdr:cNvPr id="157" name="Imagem 156">
          <a:extLst>
            <a:ext uri="{FF2B5EF4-FFF2-40B4-BE49-F238E27FC236}">
              <a16:creationId xmlns:a16="http://schemas.microsoft.com/office/drawing/2014/main" id="{F3827052-F423-4099-8190-A3A80E2E11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782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42</xdr:row>
      <xdr:rowOff>0</xdr:rowOff>
    </xdr:from>
    <xdr:ext cx="7620" cy="7620"/>
    <xdr:pic>
      <xdr:nvPicPr>
        <xdr:cNvPr id="158" name="Imagem 157">
          <a:extLst>
            <a:ext uri="{FF2B5EF4-FFF2-40B4-BE49-F238E27FC236}">
              <a16:creationId xmlns:a16="http://schemas.microsoft.com/office/drawing/2014/main" id="{AF697315-84AA-4A5D-A89B-BFFDC2451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611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40</xdr:row>
      <xdr:rowOff>0</xdr:rowOff>
    </xdr:from>
    <xdr:ext cx="7620" cy="7620"/>
    <xdr:pic>
      <xdr:nvPicPr>
        <xdr:cNvPr id="159" name="Imagem 158">
          <a:extLst>
            <a:ext uri="{FF2B5EF4-FFF2-40B4-BE49-F238E27FC236}">
              <a16:creationId xmlns:a16="http://schemas.microsoft.com/office/drawing/2014/main" id="{85980213-1E6B-47C3-86A8-0E6289D42E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9536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41</xdr:row>
      <xdr:rowOff>0</xdr:rowOff>
    </xdr:from>
    <xdr:ext cx="7620" cy="7620"/>
    <xdr:pic>
      <xdr:nvPicPr>
        <xdr:cNvPr id="160" name="Imagem 159">
          <a:extLst>
            <a:ext uri="{FF2B5EF4-FFF2-40B4-BE49-F238E27FC236}">
              <a16:creationId xmlns:a16="http://schemas.microsoft.com/office/drawing/2014/main" id="{B192EAE1-68D2-45CB-9958-ECACA51CA1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7824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42</xdr:row>
      <xdr:rowOff>0</xdr:rowOff>
    </xdr:from>
    <xdr:ext cx="7620" cy="7620"/>
    <xdr:pic>
      <xdr:nvPicPr>
        <xdr:cNvPr id="161" name="Imagem 160">
          <a:extLst>
            <a:ext uri="{FF2B5EF4-FFF2-40B4-BE49-F238E27FC236}">
              <a16:creationId xmlns:a16="http://schemas.microsoft.com/office/drawing/2014/main" id="{B8552210-39F8-48DE-9D19-41D04198A5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6112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12</xdr:row>
      <xdr:rowOff>0</xdr:rowOff>
    </xdr:from>
    <xdr:ext cx="7620" cy="7620"/>
    <xdr:pic>
      <xdr:nvPicPr>
        <xdr:cNvPr id="162" name="Imagem 161" descr="Total cost">
          <a:extLst>
            <a:ext uri="{FF2B5EF4-FFF2-40B4-BE49-F238E27FC236}">
              <a16:creationId xmlns:a16="http://schemas.microsoft.com/office/drawing/2014/main" id="{58CB43CD-470B-42F8-9437-B25887AC89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962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12</xdr:row>
      <xdr:rowOff>0</xdr:rowOff>
    </xdr:from>
    <xdr:ext cx="7620" cy="7620"/>
    <xdr:pic>
      <xdr:nvPicPr>
        <xdr:cNvPr id="163" name="Imagem 162" descr="upkeep">
          <a:extLst>
            <a:ext uri="{FF2B5EF4-FFF2-40B4-BE49-F238E27FC236}">
              <a16:creationId xmlns:a16="http://schemas.microsoft.com/office/drawing/2014/main" id="{F925EF62-298E-40BE-B879-1C9E623A7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962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12</xdr:row>
      <xdr:rowOff>0</xdr:rowOff>
    </xdr:from>
    <xdr:ext cx="7620" cy="7620"/>
    <xdr:pic>
      <xdr:nvPicPr>
        <xdr:cNvPr id="164" name="Imagem 163" descr="Time">
          <a:extLst>
            <a:ext uri="{FF2B5EF4-FFF2-40B4-BE49-F238E27FC236}">
              <a16:creationId xmlns:a16="http://schemas.microsoft.com/office/drawing/2014/main" id="{429471F4-CCFF-4237-B096-8A3304780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962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23</xdr:row>
      <xdr:rowOff>0</xdr:rowOff>
    </xdr:from>
    <xdr:ext cx="7620" cy="7620"/>
    <xdr:pic>
      <xdr:nvPicPr>
        <xdr:cNvPr id="165" name="Imagem 164" descr="Total cost">
          <a:extLst>
            <a:ext uri="{FF2B5EF4-FFF2-40B4-BE49-F238E27FC236}">
              <a16:creationId xmlns:a16="http://schemas.microsoft.com/office/drawing/2014/main" id="{BBA40C43-DCB4-4E11-9FCE-A8ED07B623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962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23</xdr:row>
      <xdr:rowOff>0</xdr:rowOff>
    </xdr:from>
    <xdr:ext cx="7620" cy="7620"/>
    <xdr:pic>
      <xdr:nvPicPr>
        <xdr:cNvPr id="166" name="Imagem 165" descr="upkeep">
          <a:extLst>
            <a:ext uri="{FF2B5EF4-FFF2-40B4-BE49-F238E27FC236}">
              <a16:creationId xmlns:a16="http://schemas.microsoft.com/office/drawing/2014/main" id="{1B0D25BB-45B1-4D83-94AA-1894B4007D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962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23</xdr:row>
      <xdr:rowOff>0</xdr:rowOff>
    </xdr:from>
    <xdr:ext cx="7620" cy="7620"/>
    <xdr:pic>
      <xdr:nvPicPr>
        <xdr:cNvPr id="167" name="Imagem 166" descr="Time">
          <a:extLst>
            <a:ext uri="{FF2B5EF4-FFF2-40B4-BE49-F238E27FC236}">
              <a16:creationId xmlns:a16="http://schemas.microsoft.com/office/drawing/2014/main" id="{CC7110E8-E1B5-4522-96CD-0AB71D6D7E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962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34</xdr:row>
      <xdr:rowOff>0</xdr:rowOff>
    </xdr:from>
    <xdr:ext cx="7620" cy="7620"/>
    <xdr:pic>
      <xdr:nvPicPr>
        <xdr:cNvPr id="168" name="Imagem 167" descr="Total cost">
          <a:extLst>
            <a:ext uri="{FF2B5EF4-FFF2-40B4-BE49-F238E27FC236}">
              <a16:creationId xmlns:a16="http://schemas.microsoft.com/office/drawing/2014/main" id="{963E2E25-3AD7-4899-B380-AD7F18D342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962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34</xdr:row>
      <xdr:rowOff>0</xdr:rowOff>
    </xdr:from>
    <xdr:ext cx="7620" cy="7620"/>
    <xdr:pic>
      <xdr:nvPicPr>
        <xdr:cNvPr id="169" name="Imagem 168" descr="upkeep">
          <a:extLst>
            <a:ext uri="{FF2B5EF4-FFF2-40B4-BE49-F238E27FC236}">
              <a16:creationId xmlns:a16="http://schemas.microsoft.com/office/drawing/2014/main" id="{FD899819-D6B4-4305-8145-43C3AE1D78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962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34</xdr:row>
      <xdr:rowOff>0</xdr:rowOff>
    </xdr:from>
    <xdr:ext cx="7620" cy="7620"/>
    <xdr:pic>
      <xdr:nvPicPr>
        <xdr:cNvPr id="170" name="Imagem 169" descr="Time">
          <a:extLst>
            <a:ext uri="{FF2B5EF4-FFF2-40B4-BE49-F238E27FC236}">
              <a16:creationId xmlns:a16="http://schemas.microsoft.com/office/drawing/2014/main" id="{A17114B8-A786-4E6A-8E7C-ABE82258D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9620" y="182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9840-6136-41F6-9B45-488C93215F6A}">
  <dimension ref="A1:M51"/>
  <sheetViews>
    <sheetView workbookViewId="0">
      <selection activeCell="D48" sqref="D48"/>
    </sheetView>
  </sheetViews>
  <sheetFormatPr defaultRowHeight="14.4" x14ac:dyDescent="0.3"/>
  <cols>
    <col min="2" max="2" width="19.77734375" customWidth="1"/>
  </cols>
  <sheetData>
    <row r="1" spans="1:13" x14ac:dyDescent="0.3">
      <c r="A1" s="7" t="s">
        <v>23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3" x14ac:dyDescent="0.3">
      <c r="A2" s="1" t="s">
        <v>0</v>
      </c>
      <c r="B2" s="1" t="s">
        <v>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 s="1" t="s">
        <v>20</v>
      </c>
      <c r="L2" s="1" t="s">
        <v>21</v>
      </c>
      <c r="M2" s="1" t="s">
        <v>22</v>
      </c>
    </row>
    <row r="3" spans="1:13" ht="14.4" customHeight="1" x14ac:dyDescent="0.3">
      <c r="A3" s="1" t="s">
        <v>51</v>
      </c>
      <c r="B3" s="1" t="s">
        <v>2</v>
      </c>
      <c r="C3" s="1">
        <v>35</v>
      </c>
      <c r="D3" s="1">
        <v>40</v>
      </c>
      <c r="E3" s="1">
        <v>30</v>
      </c>
      <c r="F3" s="1">
        <v>6</v>
      </c>
      <c r="G3" s="1">
        <v>50</v>
      </c>
      <c r="H3" s="1">
        <v>130</v>
      </c>
      <c r="I3" s="1">
        <v>80</v>
      </c>
      <c r="J3" s="1">
        <v>40</v>
      </c>
      <c r="K3" s="1">
        <v>40</v>
      </c>
      <c r="L3" s="1">
        <v>1</v>
      </c>
      <c r="M3" s="3">
        <v>9.3749999999999997E-3</v>
      </c>
    </row>
    <row r="4" spans="1:13" ht="14.4" customHeight="1" x14ac:dyDescent="0.3">
      <c r="A4" s="1" t="s">
        <v>52</v>
      </c>
      <c r="B4" s="1" t="s">
        <v>3</v>
      </c>
      <c r="C4" s="1">
        <v>50</v>
      </c>
      <c r="D4" s="1">
        <v>30</v>
      </c>
      <c r="E4" s="1">
        <v>10</v>
      </c>
      <c r="F4" s="1">
        <v>6</v>
      </c>
      <c r="G4" s="1">
        <v>30</v>
      </c>
      <c r="H4" s="1">
        <v>140</v>
      </c>
      <c r="I4" s="1">
        <v>110</v>
      </c>
      <c r="J4" s="1">
        <v>60</v>
      </c>
      <c r="K4" s="1">
        <v>60</v>
      </c>
      <c r="L4" s="1">
        <v>1</v>
      </c>
      <c r="M4" s="3">
        <v>1.2962962962962963E-2</v>
      </c>
    </row>
    <row r="5" spans="1:13" ht="14.4" customHeight="1" x14ac:dyDescent="0.3">
      <c r="A5" s="1" t="s">
        <v>53</v>
      </c>
      <c r="B5" s="1" t="s">
        <v>4</v>
      </c>
      <c r="C5" s="1">
        <v>0</v>
      </c>
      <c r="D5" s="1">
        <v>20</v>
      </c>
      <c r="E5" s="1">
        <v>10</v>
      </c>
      <c r="F5" s="1">
        <v>19</v>
      </c>
      <c r="G5" s="1">
        <v>0</v>
      </c>
      <c r="H5" s="1">
        <v>170</v>
      </c>
      <c r="I5" s="1">
        <v>150</v>
      </c>
      <c r="J5" s="1">
        <v>20</v>
      </c>
      <c r="K5" s="1">
        <v>40</v>
      </c>
      <c r="L5" s="1">
        <v>2</v>
      </c>
      <c r="M5" s="3">
        <v>1.5740740740740739E-2</v>
      </c>
    </row>
    <row r="6" spans="1:13" ht="14.4" customHeight="1" x14ac:dyDescent="0.3">
      <c r="A6" s="1" t="s">
        <v>55</v>
      </c>
      <c r="B6" s="1" t="s">
        <v>5</v>
      </c>
      <c r="C6" s="1">
        <v>120</v>
      </c>
      <c r="D6" s="1">
        <v>30</v>
      </c>
      <c r="E6" s="1">
        <v>15</v>
      </c>
      <c r="F6" s="1">
        <v>16</v>
      </c>
      <c r="G6" s="1">
        <v>75</v>
      </c>
      <c r="H6" s="1">
        <v>290</v>
      </c>
      <c r="I6" s="1">
        <v>370</v>
      </c>
      <c r="J6" s="1">
        <v>190</v>
      </c>
      <c r="K6" s="1">
        <v>45</v>
      </c>
      <c r="L6" s="1">
        <v>2</v>
      </c>
      <c r="M6" s="3">
        <v>2.7777777777777776E-2</v>
      </c>
    </row>
    <row r="7" spans="1:13" ht="14.4" customHeight="1" x14ac:dyDescent="0.3">
      <c r="A7" s="1" t="s">
        <v>56</v>
      </c>
      <c r="B7" s="1" t="s">
        <v>6</v>
      </c>
      <c r="C7" s="1">
        <v>110</v>
      </c>
      <c r="D7" s="1">
        <v>80</v>
      </c>
      <c r="E7" s="1">
        <v>70</v>
      </c>
      <c r="F7" s="1">
        <v>15</v>
      </c>
      <c r="G7" s="1">
        <v>105</v>
      </c>
      <c r="H7" s="1">
        <v>320</v>
      </c>
      <c r="I7" s="1">
        <v>350</v>
      </c>
      <c r="J7" s="1">
        <v>330</v>
      </c>
      <c r="K7" s="1">
        <v>50</v>
      </c>
      <c r="L7" s="1">
        <v>2</v>
      </c>
      <c r="M7" s="3">
        <v>2.8703703703703703E-2</v>
      </c>
    </row>
    <row r="8" spans="1:13" ht="14.4" customHeight="1" x14ac:dyDescent="0.3">
      <c r="A8" s="1" t="s">
        <v>54</v>
      </c>
      <c r="B8" s="1" t="s">
        <v>7</v>
      </c>
      <c r="C8" s="1">
        <v>180</v>
      </c>
      <c r="D8" s="1">
        <v>60</v>
      </c>
      <c r="E8" s="1">
        <v>40</v>
      </c>
      <c r="F8" s="1">
        <v>14</v>
      </c>
      <c r="G8" s="1">
        <v>80</v>
      </c>
      <c r="H8" s="1">
        <v>450</v>
      </c>
      <c r="I8" s="1">
        <v>560</v>
      </c>
      <c r="J8" s="1">
        <v>610</v>
      </c>
      <c r="K8" s="1">
        <v>140</v>
      </c>
      <c r="L8" s="1">
        <v>3</v>
      </c>
      <c r="M8" s="3">
        <v>3.4606481481481481E-2</v>
      </c>
    </row>
    <row r="9" spans="1:13" ht="14.4" customHeight="1" x14ac:dyDescent="0.3">
      <c r="A9" s="1" t="s">
        <v>57</v>
      </c>
      <c r="B9" s="1" t="s">
        <v>8</v>
      </c>
      <c r="C9" s="1">
        <v>65</v>
      </c>
      <c r="D9" s="1">
        <v>30</v>
      </c>
      <c r="E9" s="1">
        <v>90</v>
      </c>
      <c r="F9" s="1">
        <v>4</v>
      </c>
      <c r="G9" s="1">
        <v>0</v>
      </c>
      <c r="H9" s="1">
        <v>1060</v>
      </c>
      <c r="I9" s="1">
        <v>330</v>
      </c>
      <c r="J9" s="1">
        <v>360</v>
      </c>
      <c r="K9" s="1">
        <v>70</v>
      </c>
      <c r="L9" s="1">
        <v>3</v>
      </c>
      <c r="M9" s="3">
        <v>5.0925925925925923E-2</v>
      </c>
    </row>
    <row r="10" spans="1:13" ht="14.4" customHeight="1" x14ac:dyDescent="0.3">
      <c r="A10" s="1" t="s">
        <v>58</v>
      </c>
      <c r="B10" s="1" t="s">
        <v>9</v>
      </c>
      <c r="C10" s="1">
        <v>45</v>
      </c>
      <c r="D10" s="1">
        <v>55</v>
      </c>
      <c r="E10" s="1">
        <v>10</v>
      </c>
      <c r="F10" s="1">
        <v>3</v>
      </c>
      <c r="G10" s="1">
        <v>0</v>
      </c>
      <c r="H10" s="1">
        <v>950</v>
      </c>
      <c r="I10" s="1">
        <v>1280</v>
      </c>
      <c r="J10" s="1">
        <v>620</v>
      </c>
      <c r="K10" s="1">
        <v>60</v>
      </c>
      <c r="L10" s="1">
        <v>6</v>
      </c>
      <c r="M10" s="3">
        <v>0.10416666666666667</v>
      </c>
    </row>
    <row r="11" spans="1:13" ht="14.4" customHeight="1" x14ac:dyDescent="0.3">
      <c r="A11" s="1" t="s">
        <v>59</v>
      </c>
      <c r="B11" s="1" t="s">
        <v>10</v>
      </c>
      <c r="C11" s="1">
        <v>50</v>
      </c>
      <c r="D11" s="1">
        <v>40</v>
      </c>
      <c r="E11" s="1">
        <v>30</v>
      </c>
      <c r="F11" s="1">
        <v>5</v>
      </c>
      <c r="G11" s="1">
        <v>0</v>
      </c>
      <c r="H11" s="1">
        <v>37200</v>
      </c>
      <c r="I11" s="1">
        <v>27600</v>
      </c>
      <c r="J11" s="1">
        <v>25200</v>
      </c>
      <c r="K11" s="1">
        <v>27600</v>
      </c>
      <c r="L11" s="1">
        <v>4</v>
      </c>
      <c r="M11" s="4">
        <v>1.0497685185185186</v>
      </c>
    </row>
    <row r="12" spans="1:13" ht="14.4" customHeight="1" x14ac:dyDescent="0.3">
      <c r="A12" s="1" t="s">
        <v>60</v>
      </c>
      <c r="B12" s="1" t="s">
        <v>11</v>
      </c>
      <c r="C12" s="1">
        <v>10</v>
      </c>
      <c r="D12" s="1">
        <v>80</v>
      </c>
      <c r="E12" s="1">
        <v>80</v>
      </c>
      <c r="F12" s="1">
        <v>5</v>
      </c>
      <c r="G12" s="1">
        <v>3000</v>
      </c>
      <c r="H12" s="1">
        <v>6100</v>
      </c>
      <c r="I12" s="1">
        <v>4600</v>
      </c>
      <c r="J12" s="1">
        <v>4800</v>
      </c>
      <c r="K12" s="1">
        <v>5400</v>
      </c>
      <c r="L12" s="1">
        <v>1</v>
      </c>
      <c r="M12" s="3">
        <v>0.33506944444444442</v>
      </c>
    </row>
    <row r="14" spans="1:13" x14ac:dyDescent="0.3">
      <c r="A14" s="7" t="s">
        <v>33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3" x14ac:dyDescent="0.3">
      <c r="A15" s="1" t="s">
        <v>0</v>
      </c>
      <c r="B15" s="1" t="s">
        <v>1</v>
      </c>
      <c r="C15" s="1" t="s">
        <v>12</v>
      </c>
      <c r="D15" s="1" t="s">
        <v>13</v>
      </c>
      <c r="E15" s="1" t="s">
        <v>14</v>
      </c>
      <c r="F15" s="1" t="s">
        <v>15</v>
      </c>
      <c r="G15" s="1" t="s">
        <v>16</v>
      </c>
      <c r="H15" s="1" t="s">
        <v>17</v>
      </c>
      <c r="I15" s="1" t="s">
        <v>18</v>
      </c>
      <c r="J15" s="1" t="s">
        <v>19</v>
      </c>
      <c r="K15" s="1" t="s">
        <v>20</v>
      </c>
      <c r="L15" s="1" t="s">
        <v>21</v>
      </c>
      <c r="M15" s="1" t="s">
        <v>22</v>
      </c>
    </row>
    <row r="16" spans="1:13" ht="14.4" customHeight="1" x14ac:dyDescent="0.3">
      <c r="A16" s="1" t="s">
        <v>61</v>
      </c>
      <c r="B16" s="1" t="s">
        <v>24</v>
      </c>
      <c r="C16" s="1">
        <v>10</v>
      </c>
      <c r="D16" s="1">
        <v>30</v>
      </c>
      <c r="E16" s="1">
        <v>20</v>
      </c>
      <c r="F16" s="1">
        <v>7</v>
      </c>
      <c r="G16" s="1">
        <v>15</v>
      </c>
      <c r="H16" s="1">
        <v>45</v>
      </c>
      <c r="I16" s="1">
        <v>60</v>
      </c>
      <c r="J16" s="1">
        <v>30</v>
      </c>
      <c r="K16" s="1">
        <v>15</v>
      </c>
      <c r="L16" s="1">
        <v>1</v>
      </c>
      <c r="M16" s="3">
        <v>6.1342592592592594E-3</v>
      </c>
    </row>
    <row r="17" spans="1:13" ht="14.4" customHeight="1" x14ac:dyDescent="0.3">
      <c r="A17" s="1" t="s">
        <v>62</v>
      </c>
      <c r="B17" s="1" t="s">
        <v>25</v>
      </c>
      <c r="C17" s="1">
        <v>30</v>
      </c>
      <c r="D17" s="1">
        <v>55</v>
      </c>
      <c r="E17" s="1">
        <v>40</v>
      </c>
      <c r="F17" s="1">
        <v>6</v>
      </c>
      <c r="G17" s="1">
        <v>50</v>
      </c>
      <c r="H17" s="1">
        <v>115</v>
      </c>
      <c r="I17" s="1">
        <v>100</v>
      </c>
      <c r="J17" s="1">
        <v>145</v>
      </c>
      <c r="K17" s="1">
        <v>60</v>
      </c>
      <c r="L17" s="1">
        <v>1</v>
      </c>
      <c r="M17" s="3">
        <v>1.5972222222222221E-2</v>
      </c>
    </row>
    <row r="18" spans="1:13" ht="14.4" customHeight="1" x14ac:dyDescent="0.3">
      <c r="A18" s="1" t="s">
        <v>63</v>
      </c>
      <c r="B18" s="1" t="s">
        <v>26</v>
      </c>
      <c r="C18" s="1">
        <v>65</v>
      </c>
      <c r="D18" s="1">
        <v>50</v>
      </c>
      <c r="E18" s="1">
        <v>20</v>
      </c>
      <c r="F18" s="1">
        <v>7</v>
      </c>
      <c r="G18" s="1">
        <v>45</v>
      </c>
      <c r="H18" s="1">
        <v>170</v>
      </c>
      <c r="I18" s="1">
        <v>180</v>
      </c>
      <c r="J18" s="1">
        <v>220</v>
      </c>
      <c r="K18" s="1">
        <v>80</v>
      </c>
      <c r="L18" s="1">
        <v>1</v>
      </c>
      <c r="M18" s="3">
        <v>1.6666666666666666E-2</v>
      </c>
    </row>
    <row r="19" spans="1:13" ht="14.4" customHeight="1" x14ac:dyDescent="0.3">
      <c r="A19" s="1" t="s">
        <v>65</v>
      </c>
      <c r="B19" s="1" t="s">
        <v>27</v>
      </c>
      <c r="C19" s="1">
        <v>0</v>
      </c>
      <c r="D19" s="1">
        <v>20</v>
      </c>
      <c r="E19" s="1">
        <v>10</v>
      </c>
      <c r="F19" s="1">
        <v>16</v>
      </c>
      <c r="G19" s="1">
        <v>0</v>
      </c>
      <c r="H19" s="1">
        <v>170</v>
      </c>
      <c r="I19" s="1">
        <v>150</v>
      </c>
      <c r="J19" s="1">
        <v>20</v>
      </c>
      <c r="K19" s="1">
        <v>40</v>
      </c>
      <c r="L19" s="1">
        <v>2</v>
      </c>
      <c r="M19" s="3">
        <v>1.5740740740740739E-2</v>
      </c>
    </row>
    <row r="20" spans="1:13" ht="14.4" customHeight="1" x14ac:dyDescent="0.3">
      <c r="A20" s="1" t="s">
        <v>66</v>
      </c>
      <c r="B20" s="1" t="s">
        <v>28</v>
      </c>
      <c r="C20" s="1">
        <v>50</v>
      </c>
      <c r="D20" s="1">
        <v>110</v>
      </c>
      <c r="E20" s="1">
        <v>50</v>
      </c>
      <c r="F20" s="1">
        <v>15</v>
      </c>
      <c r="G20" s="1">
        <v>50</v>
      </c>
      <c r="H20" s="1">
        <v>360</v>
      </c>
      <c r="I20" s="1">
        <v>330</v>
      </c>
      <c r="J20" s="1">
        <v>280</v>
      </c>
      <c r="K20" s="1">
        <v>120</v>
      </c>
      <c r="L20" s="1">
        <v>2</v>
      </c>
      <c r="M20" s="3">
        <v>2.9629629629629631E-2</v>
      </c>
    </row>
    <row r="21" spans="1:13" ht="14.4" customHeight="1" x14ac:dyDescent="0.3">
      <c r="A21" s="1" t="s">
        <v>64</v>
      </c>
      <c r="B21" s="1" t="s">
        <v>29</v>
      </c>
      <c r="C21" s="1">
        <v>110</v>
      </c>
      <c r="D21" s="1">
        <v>120</v>
      </c>
      <c r="E21" s="1">
        <v>150</v>
      </c>
      <c r="F21" s="1">
        <v>10</v>
      </c>
      <c r="G21" s="1">
        <v>70</v>
      </c>
      <c r="H21" s="1">
        <v>450</v>
      </c>
      <c r="I21" s="1">
        <v>560</v>
      </c>
      <c r="J21" s="1">
        <v>610</v>
      </c>
      <c r="K21" s="1">
        <v>180</v>
      </c>
      <c r="L21" s="1">
        <v>3</v>
      </c>
      <c r="M21" s="3">
        <v>3.7499999999999999E-2</v>
      </c>
    </row>
    <row r="22" spans="1:13" ht="14.4" customHeight="1" x14ac:dyDescent="0.3">
      <c r="A22" s="1" t="s">
        <v>67</v>
      </c>
      <c r="B22" s="1" t="s">
        <v>8</v>
      </c>
      <c r="C22" s="1">
        <v>55</v>
      </c>
      <c r="D22" s="1">
        <v>30</v>
      </c>
      <c r="E22" s="1">
        <v>95</v>
      </c>
      <c r="F22" s="1">
        <v>4</v>
      </c>
      <c r="G22" s="1">
        <v>0</v>
      </c>
      <c r="H22" s="1">
        <v>995</v>
      </c>
      <c r="I22" s="1">
        <v>575</v>
      </c>
      <c r="J22" s="1">
        <v>340</v>
      </c>
      <c r="K22" s="1">
        <v>80</v>
      </c>
      <c r="L22" s="1">
        <v>3</v>
      </c>
      <c r="M22" s="3">
        <v>5.5555555555555552E-2</v>
      </c>
    </row>
    <row r="23" spans="1:13" ht="14.4" customHeight="1" x14ac:dyDescent="0.3">
      <c r="A23" s="1" t="s">
        <v>68</v>
      </c>
      <c r="B23" s="1" t="s">
        <v>30</v>
      </c>
      <c r="C23" s="1">
        <v>65</v>
      </c>
      <c r="D23" s="1">
        <v>55</v>
      </c>
      <c r="E23" s="1">
        <v>10</v>
      </c>
      <c r="F23" s="1">
        <v>3</v>
      </c>
      <c r="G23" s="1">
        <v>0</v>
      </c>
      <c r="H23" s="1">
        <v>980</v>
      </c>
      <c r="I23" s="1">
        <v>1510</v>
      </c>
      <c r="J23" s="1">
        <v>660</v>
      </c>
      <c r="K23" s="1">
        <v>100</v>
      </c>
      <c r="L23" s="1">
        <v>6</v>
      </c>
      <c r="M23" s="3">
        <v>0.10416666666666667</v>
      </c>
    </row>
    <row r="24" spans="1:13" ht="14.4" customHeight="1" x14ac:dyDescent="0.3">
      <c r="A24" s="1" t="s">
        <v>69</v>
      </c>
      <c r="B24" s="1" t="s">
        <v>31</v>
      </c>
      <c r="C24" s="1">
        <v>40</v>
      </c>
      <c r="D24" s="1">
        <v>50</v>
      </c>
      <c r="E24" s="1">
        <v>50</v>
      </c>
      <c r="F24" s="1">
        <v>4</v>
      </c>
      <c r="G24" s="1">
        <v>0</v>
      </c>
      <c r="H24" s="1">
        <v>34000</v>
      </c>
      <c r="I24" s="1">
        <v>50000</v>
      </c>
      <c r="J24" s="1">
        <v>34000</v>
      </c>
      <c r="K24" s="1">
        <v>42000</v>
      </c>
      <c r="L24" s="1">
        <v>4</v>
      </c>
      <c r="M24" s="4">
        <v>1.0497685185185186</v>
      </c>
    </row>
    <row r="25" spans="1:13" ht="14.4" customHeight="1" x14ac:dyDescent="0.3">
      <c r="A25" s="1" t="s">
        <v>70</v>
      </c>
      <c r="B25" s="1" t="s">
        <v>11</v>
      </c>
      <c r="C25" s="1" t="s">
        <v>32</v>
      </c>
      <c r="D25" s="1">
        <v>80</v>
      </c>
      <c r="E25" s="1">
        <v>80</v>
      </c>
      <c r="F25" s="1">
        <v>5</v>
      </c>
      <c r="G25" s="1">
        <v>3000</v>
      </c>
      <c r="H25" s="1">
        <v>5040</v>
      </c>
      <c r="I25" s="1">
        <v>6510</v>
      </c>
      <c r="J25" s="1">
        <v>4830</v>
      </c>
      <c r="K25" s="1">
        <v>4620</v>
      </c>
      <c r="L25" s="1">
        <v>1</v>
      </c>
      <c r="M25" s="3">
        <v>0.28703703703703703</v>
      </c>
    </row>
    <row r="27" spans="1:13" x14ac:dyDescent="0.3">
      <c r="A27" s="7" t="s">
        <v>42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</row>
    <row r="28" spans="1:13" x14ac:dyDescent="0.3">
      <c r="A28" s="1" t="s">
        <v>0</v>
      </c>
      <c r="B28" s="1" t="s">
        <v>1</v>
      </c>
      <c r="C28" s="1" t="s">
        <v>12</v>
      </c>
      <c r="D28" s="1" t="s">
        <v>13</v>
      </c>
      <c r="E28" s="1" t="s">
        <v>14</v>
      </c>
      <c r="F28" s="1" t="s">
        <v>15</v>
      </c>
      <c r="G28" s="1" t="s">
        <v>16</v>
      </c>
      <c r="H28" s="1" t="s">
        <v>17</v>
      </c>
      <c r="I28" s="1" t="s">
        <v>18</v>
      </c>
      <c r="J28" s="1" t="s">
        <v>19</v>
      </c>
      <c r="K28" s="1" t="s">
        <v>20</v>
      </c>
      <c r="L28" s="1" t="s">
        <v>21</v>
      </c>
      <c r="M28" s="1" t="s">
        <v>22</v>
      </c>
    </row>
    <row r="29" spans="1:13" x14ac:dyDescent="0.3">
      <c r="A29" s="1" t="s">
        <v>71</v>
      </c>
      <c r="B29" s="1" t="s">
        <v>34</v>
      </c>
      <c r="C29" s="1">
        <v>50</v>
      </c>
      <c r="D29" s="1">
        <v>35</v>
      </c>
      <c r="E29" s="1">
        <v>30</v>
      </c>
      <c r="F29" s="1">
        <v>6</v>
      </c>
      <c r="G29" s="1">
        <v>60</v>
      </c>
      <c r="H29" s="1">
        <v>110</v>
      </c>
      <c r="I29" s="1">
        <v>185</v>
      </c>
      <c r="J29" s="1">
        <v>110</v>
      </c>
      <c r="K29" s="1">
        <v>35</v>
      </c>
      <c r="L29" s="1">
        <v>1</v>
      </c>
      <c r="M29" s="3">
        <v>1.9675925925925927E-2</v>
      </c>
    </row>
    <row r="30" spans="1:13" x14ac:dyDescent="0.3">
      <c r="A30" s="1" t="s">
        <v>72</v>
      </c>
      <c r="B30" s="1" t="s">
        <v>35</v>
      </c>
      <c r="C30" s="1">
        <v>0</v>
      </c>
      <c r="D30" s="1">
        <v>40</v>
      </c>
      <c r="E30" s="1">
        <v>22</v>
      </c>
      <c r="F30" s="1">
        <v>9</v>
      </c>
      <c r="G30" s="1">
        <v>0</v>
      </c>
      <c r="H30" s="1">
        <v>185</v>
      </c>
      <c r="I30" s="1">
        <v>150</v>
      </c>
      <c r="J30" s="1">
        <v>35</v>
      </c>
      <c r="K30" s="1">
        <v>75</v>
      </c>
      <c r="L30" s="1">
        <v>1</v>
      </c>
      <c r="M30" s="3">
        <v>1.425925925925926E-2</v>
      </c>
    </row>
    <row r="31" spans="1:13" x14ac:dyDescent="0.3">
      <c r="A31" s="1" t="s">
        <v>73</v>
      </c>
      <c r="B31" s="1" t="s">
        <v>36</v>
      </c>
      <c r="C31" s="1">
        <v>40</v>
      </c>
      <c r="D31" s="1">
        <v>85</v>
      </c>
      <c r="E31" s="1">
        <v>45</v>
      </c>
      <c r="F31" s="1">
        <v>8</v>
      </c>
      <c r="G31" s="1">
        <v>40</v>
      </c>
      <c r="H31" s="1">
        <v>145</v>
      </c>
      <c r="I31" s="1">
        <v>95</v>
      </c>
      <c r="J31" s="1">
        <v>245</v>
      </c>
      <c r="K31" s="1">
        <v>45</v>
      </c>
      <c r="L31" s="1">
        <v>1</v>
      </c>
      <c r="M31" s="3">
        <v>2.2407407407407407E-2</v>
      </c>
    </row>
    <row r="32" spans="1:13" x14ac:dyDescent="0.3">
      <c r="A32" s="1" t="s">
        <v>75</v>
      </c>
      <c r="B32" s="1" t="s">
        <v>37</v>
      </c>
      <c r="C32" s="1">
        <v>90</v>
      </c>
      <c r="D32" s="1">
        <v>55</v>
      </c>
      <c r="E32" s="1">
        <v>40</v>
      </c>
      <c r="F32" s="1">
        <v>6</v>
      </c>
      <c r="G32" s="1">
        <v>50</v>
      </c>
      <c r="H32" s="1">
        <v>130</v>
      </c>
      <c r="I32" s="1">
        <v>200</v>
      </c>
      <c r="J32" s="1">
        <v>400</v>
      </c>
      <c r="K32" s="1">
        <v>65</v>
      </c>
      <c r="L32" s="1">
        <v>1</v>
      </c>
      <c r="M32" s="3">
        <v>2.4444444444444446E-2</v>
      </c>
    </row>
    <row r="33" spans="1:13" x14ac:dyDescent="0.3">
      <c r="A33" s="1" t="s">
        <v>76</v>
      </c>
      <c r="B33" s="1" t="s">
        <v>38</v>
      </c>
      <c r="C33" s="1">
        <v>55</v>
      </c>
      <c r="D33" s="1">
        <v>120</v>
      </c>
      <c r="E33" s="1">
        <v>90</v>
      </c>
      <c r="F33" s="1">
        <v>16</v>
      </c>
      <c r="G33" s="1">
        <v>110</v>
      </c>
      <c r="H33" s="1">
        <v>555</v>
      </c>
      <c r="I33" s="1">
        <v>445</v>
      </c>
      <c r="J33" s="1">
        <v>330</v>
      </c>
      <c r="K33" s="1">
        <v>110</v>
      </c>
      <c r="L33" s="1">
        <v>2</v>
      </c>
      <c r="M33" s="3">
        <v>3.259259259259259E-2</v>
      </c>
    </row>
    <row r="34" spans="1:13" x14ac:dyDescent="0.3">
      <c r="A34" s="1" t="s">
        <v>74</v>
      </c>
      <c r="B34" s="1" t="s">
        <v>39</v>
      </c>
      <c r="C34" s="1">
        <v>195</v>
      </c>
      <c r="D34" s="1">
        <v>80</v>
      </c>
      <c r="E34" s="1">
        <v>75</v>
      </c>
      <c r="F34" s="1">
        <v>9</v>
      </c>
      <c r="G34" s="1">
        <v>80</v>
      </c>
      <c r="H34" s="1">
        <v>660</v>
      </c>
      <c r="I34" s="1">
        <v>495</v>
      </c>
      <c r="J34" s="1">
        <v>995</v>
      </c>
      <c r="K34" s="1">
        <v>165</v>
      </c>
      <c r="L34" s="1">
        <v>3</v>
      </c>
      <c r="M34" s="3">
        <v>3.9722222222222221E-2</v>
      </c>
    </row>
    <row r="35" spans="1:13" x14ac:dyDescent="0.3">
      <c r="A35" s="1" t="s">
        <v>77</v>
      </c>
      <c r="B35" s="1" t="s">
        <v>8</v>
      </c>
      <c r="C35" s="1">
        <v>65</v>
      </c>
      <c r="D35" s="1">
        <v>30</v>
      </c>
      <c r="E35" s="1">
        <v>80</v>
      </c>
      <c r="F35" s="1">
        <v>4</v>
      </c>
      <c r="G35" s="1">
        <v>0</v>
      </c>
      <c r="H35" s="1">
        <v>525</v>
      </c>
      <c r="I35" s="1">
        <v>260</v>
      </c>
      <c r="J35" s="1">
        <v>790</v>
      </c>
      <c r="K35" s="1">
        <v>130</v>
      </c>
      <c r="L35" s="1">
        <v>3</v>
      </c>
      <c r="M35" s="3">
        <v>5.347222222222222E-2</v>
      </c>
    </row>
    <row r="36" spans="1:13" x14ac:dyDescent="0.3">
      <c r="A36" s="1" t="s">
        <v>78</v>
      </c>
      <c r="B36" s="1" t="s">
        <v>40</v>
      </c>
      <c r="C36" s="1">
        <v>50</v>
      </c>
      <c r="D36" s="1">
        <v>60</v>
      </c>
      <c r="E36" s="1">
        <v>10</v>
      </c>
      <c r="F36" s="1">
        <v>3</v>
      </c>
      <c r="G36" s="1">
        <v>0</v>
      </c>
      <c r="H36" s="1">
        <v>550</v>
      </c>
      <c r="I36" s="1">
        <v>1240</v>
      </c>
      <c r="J36" s="1">
        <v>825</v>
      </c>
      <c r="K36" s="1">
        <v>135</v>
      </c>
      <c r="L36" s="1">
        <v>6</v>
      </c>
      <c r="M36" s="3">
        <v>0.11458333333333333</v>
      </c>
    </row>
    <row r="37" spans="1:13" x14ac:dyDescent="0.3">
      <c r="A37" s="1" t="s">
        <v>79</v>
      </c>
      <c r="B37" s="1" t="s">
        <v>41</v>
      </c>
      <c r="C37" s="1">
        <v>40</v>
      </c>
      <c r="D37" s="1">
        <v>60</v>
      </c>
      <c r="E37" s="1">
        <v>40</v>
      </c>
      <c r="F37" s="1">
        <v>4</v>
      </c>
      <c r="G37" s="1">
        <v>0</v>
      </c>
      <c r="H37" s="1">
        <v>33450</v>
      </c>
      <c r="I37" s="1">
        <v>30665</v>
      </c>
      <c r="J37" s="1">
        <v>36240</v>
      </c>
      <c r="K37" s="1">
        <v>13935</v>
      </c>
      <c r="L37" s="1">
        <v>4</v>
      </c>
      <c r="M37" s="3">
        <v>0.89756944444444442</v>
      </c>
    </row>
    <row r="38" spans="1:13" x14ac:dyDescent="0.3">
      <c r="A38" s="1" t="s">
        <v>80</v>
      </c>
      <c r="B38" s="1" t="s">
        <v>11</v>
      </c>
      <c r="C38" s="1">
        <v>10</v>
      </c>
      <c r="D38" s="1">
        <v>80</v>
      </c>
      <c r="E38" s="1">
        <v>80</v>
      </c>
      <c r="F38" s="1">
        <v>5</v>
      </c>
      <c r="G38" s="1">
        <v>3000</v>
      </c>
      <c r="H38" s="1">
        <v>5115</v>
      </c>
      <c r="I38" s="1">
        <v>5580</v>
      </c>
      <c r="J38" s="1">
        <v>6045</v>
      </c>
      <c r="K38" s="1">
        <v>3255</v>
      </c>
      <c r="L38" s="1">
        <v>1</v>
      </c>
      <c r="M38" s="3">
        <v>0.39467592592592593</v>
      </c>
    </row>
    <row r="40" spans="1:13" x14ac:dyDescent="0.3">
      <c r="A40" s="7" t="s">
        <v>50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</row>
    <row r="41" spans="1:13" x14ac:dyDescent="0.3">
      <c r="A41" s="1" t="s">
        <v>0</v>
      </c>
      <c r="B41" s="1" t="s">
        <v>1</v>
      </c>
      <c r="C41" s="1" t="s">
        <v>12</v>
      </c>
      <c r="D41" s="1" t="s">
        <v>13</v>
      </c>
      <c r="E41" s="1" t="s">
        <v>14</v>
      </c>
      <c r="F41" s="1" t="s">
        <v>15</v>
      </c>
      <c r="G41" s="1" t="s">
        <v>16</v>
      </c>
      <c r="H41" s="1" t="s">
        <v>17</v>
      </c>
      <c r="I41" s="1" t="s">
        <v>18</v>
      </c>
      <c r="J41" s="1" t="s">
        <v>19</v>
      </c>
      <c r="K41" s="1" t="s">
        <v>20</v>
      </c>
      <c r="L41" s="1" t="s">
        <v>21</v>
      </c>
      <c r="M41" s="1" t="s">
        <v>22</v>
      </c>
    </row>
    <row r="42" spans="1:13" x14ac:dyDescent="0.3">
      <c r="A42" s="1" t="s">
        <v>81</v>
      </c>
      <c r="B42" s="1" t="s">
        <v>43</v>
      </c>
      <c r="C42" s="1">
        <v>45</v>
      </c>
      <c r="D42" s="1">
        <v>22</v>
      </c>
      <c r="E42" s="1">
        <v>5</v>
      </c>
      <c r="F42" s="1">
        <v>7</v>
      </c>
      <c r="G42" s="1">
        <v>55</v>
      </c>
      <c r="H42" s="1">
        <v>95</v>
      </c>
      <c r="I42" s="1">
        <v>80</v>
      </c>
      <c r="J42" s="1">
        <v>50</v>
      </c>
      <c r="K42" s="1">
        <v>40</v>
      </c>
      <c r="L42" s="1">
        <v>1</v>
      </c>
      <c r="M42" s="3">
        <v>9.2592592592592587E-3</v>
      </c>
    </row>
    <row r="43" spans="1:13" x14ac:dyDescent="0.3">
      <c r="A43" s="1" t="s">
        <v>82</v>
      </c>
      <c r="B43" s="1" t="s">
        <v>44</v>
      </c>
      <c r="C43" s="1">
        <v>20</v>
      </c>
      <c r="D43" s="1">
        <v>50</v>
      </c>
      <c r="E43" s="1">
        <v>30</v>
      </c>
      <c r="F43" s="1">
        <v>7</v>
      </c>
      <c r="G43" s="1">
        <v>40</v>
      </c>
      <c r="H43" s="1">
        <v>125</v>
      </c>
      <c r="I43" s="1">
        <v>70</v>
      </c>
      <c r="J43" s="1">
        <v>85</v>
      </c>
      <c r="K43" s="1">
        <v>40</v>
      </c>
      <c r="L43" s="1">
        <v>1</v>
      </c>
      <c r="M43" s="3">
        <v>1.2500000000000001E-2</v>
      </c>
    </row>
    <row r="44" spans="1:13" x14ac:dyDescent="0.3">
      <c r="A44" s="1" t="s">
        <v>85</v>
      </c>
      <c r="B44" s="1" t="s">
        <v>45</v>
      </c>
      <c r="C44" s="1">
        <v>70</v>
      </c>
      <c r="D44" s="1">
        <v>30</v>
      </c>
      <c r="E44" s="1">
        <v>25</v>
      </c>
      <c r="F44" s="1">
        <v>5</v>
      </c>
      <c r="G44" s="1">
        <v>75</v>
      </c>
      <c r="H44" s="1">
        <v>235</v>
      </c>
      <c r="I44" s="1">
        <v>220</v>
      </c>
      <c r="J44" s="1">
        <v>200</v>
      </c>
      <c r="K44" s="1">
        <v>70</v>
      </c>
      <c r="L44" s="1">
        <v>2</v>
      </c>
      <c r="M44" s="3">
        <v>1.7939814814814815E-2</v>
      </c>
    </row>
    <row r="45" spans="1:13" x14ac:dyDescent="0.3">
      <c r="A45" s="1" t="s">
        <v>84</v>
      </c>
      <c r="B45" s="1" t="s">
        <v>46</v>
      </c>
      <c r="C45" s="1">
        <v>0</v>
      </c>
      <c r="D45" s="1">
        <v>10</v>
      </c>
      <c r="E45" s="1">
        <v>5</v>
      </c>
      <c r="F45" s="1">
        <v>9</v>
      </c>
      <c r="G45" s="1">
        <v>0</v>
      </c>
      <c r="H45" s="1">
        <v>155</v>
      </c>
      <c r="I45" s="1">
        <v>95</v>
      </c>
      <c r="J45" s="1">
        <v>50</v>
      </c>
      <c r="K45" s="1">
        <v>50</v>
      </c>
      <c r="L45" s="1">
        <v>1</v>
      </c>
      <c r="M45" s="3">
        <v>1.2962962962962963E-2</v>
      </c>
    </row>
    <row r="46" spans="1:13" x14ac:dyDescent="0.3">
      <c r="A46" s="1" t="s">
        <v>86</v>
      </c>
      <c r="B46" s="1" t="s">
        <v>47</v>
      </c>
      <c r="C46" s="1">
        <v>45</v>
      </c>
      <c r="D46" s="1">
        <v>95</v>
      </c>
      <c r="E46" s="1">
        <v>100</v>
      </c>
      <c r="F46" s="1">
        <v>12</v>
      </c>
      <c r="G46" s="1">
        <v>110</v>
      </c>
      <c r="H46" s="1">
        <v>385</v>
      </c>
      <c r="I46" s="1">
        <v>295</v>
      </c>
      <c r="J46" s="1">
        <v>290</v>
      </c>
      <c r="K46" s="1">
        <v>85</v>
      </c>
      <c r="L46" s="1">
        <v>2</v>
      </c>
      <c r="M46" s="3">
        <v>3.0671296296296297E-2</v>
      </c>
    </row>
    <row r="47" spans="1:13" x14ac:dyDescent="0.3">
      <c r="A47" s="1" t="s">
        <v>83</v>
      </c>
      <c r="B47" s="1" t="s">
        <v>48</v>
      </c>
      <c r="C47" s="1">
        <v>160</v>
      </c>
      <c r="D47" s="1">
        <v>50</v>
      </c>
      <c r="E47" s="1">
        <v>75</v>
      </c>
      <c r="F47" s="1">
        <v>9</v>
      </c>
      <c r="G47" s="1">
        <v>80</v>
      </c>
      <c r="H47" s="1">
        <v>475</v>
      </c>
      <c r="I47" s="1">
        <v>535</v>
      </c>
      <c r="J47" s="1">
        <v>515</v>
      </c>
      <c r="K47" s="1">
        <v>100</v>
      </c>
      <c r="L47" s="1">
        <v>2</v>
      </c>
      <c r="M47" s="3">
        <v>3.5416666666666666E-2</v>
      </c>
    </row>
    <row r="48" spans="1:13" x14ac:dyDescent="0.3">
      <c r="A48" s="1" t="s">
        <v>87</v>
      </c>
      <c r="B48" s="1" t="s">
        <v>8</v>
      </c>
      <c r="C48" s="1">
        <v>65</v>
      </c>
      <c r="D48" s="1">
        <v>30</v>
      </c>
      <c r="E48" s="1">
        <v>80</v>
      </c>
      <c r="F48" s="1">
        <v>4</v>
      </c>
      <c r="G48" s="1">
        <v>0</v>
      </c>
      <c r="H48" s="1">
        <v>950</v>
      </c>
      <c r="I48" s="1">
        <v>325</v>
      </c>
      <c r="J48" s="1">
        <v>375</v>
      </c>
      <c r="K48" s="1">
        <v>70</v>
      </c>
      <c r="L48" s="1">
        <v>2</v>
      </c>
      <c r="M48" s="3">
        <v>4.8611111111111112E-2</v>
      </c>
    </row>
    <row r="49" spans="1:13" x14ac:dyDescent="0.3">
      <c r="A49" s="1" t="s">
        <v>88</v>
      </c>
      <c r="B49" s="1" t="s">
        <v>9</v>
      </c>
      <c r="C49" s="1">
        <v>50</v>
      </c>
      <c r="D49" s="1">
        <v>60</v>
      </c>
      <c r="E49" s="1">
        <v>10</v>
      </c>
      <c r="F49" s="1">
        <v>3</v>
      </c>
      <c r="G49" s="1">
        <v>0</v>
      </c>
      <c r="H49" s="1">
        <v>850</v>
      </c>
      <c r="I49" s="1">
        <v>1225</v>
      </c>
      <c r="J49" s="1">
        <v>625</v>
      </c>
      <c r="K49" s="1">
        <v>60</v>
      </c>
      <c r="L49" s="1">
        <v>6</v>
      </c>
      <c r="M49" s="3">
        <v>0.10416666666666667</v>
      </c>
    </row>
    <row r="50" spans="1:13" x14ac:dyDescent="0.3">
      <c r="A50" s="1" t="s">
        <v>89</v>
      </c>
      <c r="B50" s="1" t="s">
        <v>49</v>
      </c>
      <c r="C50" s="1">
        <v>40</v>
      </c>
      <c r="D50" s="1">
        <v>40</v>
      </c>
      <c r="E50" s="1">
        <v>60</v>
      </c>
      <c r="F50" s="1">
        <v>5</v>
      </c>
      <c r="G50" s="1">
        <v>0</v>
      </c>
      <c r="H50" s="1">
        <v>35500</v>
      </c>
      <c r="I50" s="1">
        <v>26600</v>
      </c>
      <c r="J50" s="1">
        <v>25000</v>
      </c>
      <c r="K50" s="1">
        <v>27200</v>
      </c>
      <c r="L50" s="1">
        <v>4</v>
      </c>
      <c r="M50" s="3">
        <v>0.81597222222222221</v>
      </c>
    </row>
    <row r="51" spans="1:13" x14ac:dyDescent="0.3">
      <c r="A51" s="1" t="s">
        <v>90</v>
      </c>
      <c r="B51" s="1" t="s">
        <v>11</v>
      </c>
      <c r="C51" s="1">
        <v>10</v>
      </c>
      <c r="D51" s="1">
        <v>80</v>
      </c>
      <c r="E51" s="1">
        <v>80</v>
      </c>
      <c r="F51" s="1">
        <v>5</v>
      </c>
      <c r="G51" s="1">
        <v>3000</v>
      </c>
      <c r="H51" s="1">
        <v>5800</v>
      </c>
      <c r="I51" s="1">
        <v>4600</v>
      </c>
      <c r="J51" s="1">
        <v>4800</v>
      </c>
      <c r="K51" s="1">
        <v>4800</v>
      </c>
      <c r="L51" s="1">
        <v>1</v>
      </c>
      <c r="M51" s="3">
        <v>0.35879629629629628</v>
      </c>
    </row>
  </sheetData>
  <mergeCells count="4">
    <mergeCell ref="A1:M1"/>
    <mergeCell ref="A14:M14"/>
    <mergeCell ref="A27:M27"/>
    <mergeCell ref="A40:M40"/>
  </mergeCells>
  <phoneticPr fontId="1" type="noConversion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6A687-57F5-479A-A44C-4A2BCD750D3C}">
  <dimension ref="A1:H43"/>
  <sheetViews>
    <sheetView workbookViewId="0">
      <selection activeCell="K32" sqref="K32"/>
    </sheetView>
  </sheetViews>
  <sheetFormatPr defaultRowHeight="14.4" x14ac:dyDescent="0.3"/>
  <cols>
    <col min="2" max="2" width="22.33203125" customWidth="1"/>
  </cols>
  <sheetData>
    <row r="1" spans="1:8" x14ac:dyDescent="0.3">
      <c r="A1" s="7" t="s">
        <v>23</v>
      </c>
      <c r="B1" s="7"/>
      <c r="C1" s="7"/>
      <c r="D1" s="7"/>
      <c r="E1" s="7"/>
      <c r="F1" s="7"/>
      <c r="G1" s="7"/>
    </row>
    <row r="2" spans="1:8" ht="14.4" customHeight="1" x14ac:dyDescent="0.3">
      <c r="A2" s="1" t="s">
        <v>0</v>
      </c>
      <c r="B2" s="1" t="s">
        <v>1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22</v>
      </c>
    </row>
    <row r="3" spans="1:8" ht="14.4" customHeight="1" x14ac:dyDescent="0.3">
      <c r="A3" s="1" t="s">
        <v>52</v>
      </c>
      <c r="B3" s="1" t="s">
        <v>3</v>
      </c>
      <c r="C3" s="1">
        <v>940</v>
      </c>
      <c r="D3" s="1">
        <v>540</v>
      </c>
      <c r="E3" s="1">
        <v>680</v>
      </c>
      <c r="F3" s="1">
        <v>520</v>
      </c>
      <c r="G3" s="3">
        <v>5.9722222222222225E-2</v>
      </c>
    </row>
    <row r="4" spans="1:8" ht="14.4" customHeight="1" x14ac:dyDescent="0.3">
      <c r="A4" s="1" t="s">
        <v>53</v>
      </c>
      <c r="B4" s="1" t="s">
        <v>4</v>
      </c>
      <c r="C4" s="1">
        <v>1120</v>
      </c>
      <c r="D4" s="1">
        <v>700</v>
      </c>
      <c r="E4" s="1">
        <v>360</v>
      </c>
      <c r="F4" s="1">
        <v>400</v>
      </c>
      <c r="G4" s="3">
        <v>6.805555555555555E-2</v>
      </c>
    </row>
    <row r="5" spans="1:8" ht="14.4" customHeight="1" x14ac:dyDescent="0.3">
      <c r="A5" s="1" t="s">
        <v>55</v>
      </c>
      <c r="B5" s="1" t="s">
        <v>5</v>
      </c>
      <c r="C5" s="1">
        <v>1840</v>
      </c>
      <c r="D5" s="1">
        <v>1580</v>
      </c>
      <c r="E5" s="1">
        <v>1720</v>
      </c>
      <c r="F5" s="1">
        <v>430</v>
      </c>
      <c r="G5" s="3">
        <v>0.10416666666666667</v>
      </c>
    </row>
    <row r="6" spans="1:8" ht="14.4" customHeight="1" x14ac:dyDescent="0.3">
      <c r="A6" s="1" t="s">
        <v>56</v>
      </c>
      <c r="B6" s="1" t="s">
        <v>6</v>
      </c>
      <c r="C6" s="1">
        <v>2020</v>
      </c>
      <c r="D6" s="1">
        <v>1500</v>
      </c>
      <c r="E6" s="1">
        <v>2840</v>
      </c>
      <c r="F6" s="1">
        <v>460</v>
      </c>
      <c r="G6" s="3">
        <v>0.10694444444444444</v>
      </c>
      <c r="H6" s="1"/>
    </row>
    <row r="7" spans="1:8" ht="14.4" customHeight="1" x14ac:dyDescent="0.3">
      <c r="A7" s="1" t="s">
        <v>54</v>
      </c>
      <c r="B7" s="1" t="s">
        <v>7</v>
      </c>
      <c r="C7" s="1">
        <v>2800</v>
      </c>
      <c r="D7" s="1">
        <v>2340</v>
      </c>
      <c r="E7" s="1">
        <v>5080</v>
      </c>
      <c r="F7" s="1">
        <v>1000</v>
      </c>
      <c r="G7" s="3">
        <v>0.12465277777777778</v>
      </c>
    </row>
    <row r="8" spans="1:8" ht="14.4" customHeight="1" x14ac:dyDescent="0.3">
      <c r="A8" s="1" t="s">
        <v>57</v>
      </c>
      <c r="B8" s="1" t="s">
        <v>8</v>
      </c>
      <c r="C8" s="1">
        <v>6460</v>
      </c>
      <c r="D8" s="1">
        <v>1420</v>
      </c>
      <c r="E8" s="1">
        <v>3080</v>
      </c>
      <c r="F8" s="1">
        <v>580</v>
      </c>
      <c r="G8" s="3">
        <v>0.1736111111111111</v>
      </c>
    </row>
    <row r="9" spans="1:8" ht="14.4" customHeight="1" x14ac:dyDescent="0.3">
      <c r="A9" s="1" t="s">
        <v>58</v>
      </c>
      <c r="B9" s="1" t="s">
        <v>9</v>
      </c>
      <c r="C9" s="1">
        <v>5800</v>
      </c>
      <c r="D9" s="1">
        <v>5220</v>
      </c>
      <c r="E9" s="1">
        <v>5160</v>
      </c>
      <c r="F9" s="1">
        <v>520</v>
      </c>
      <c r="G9" s="3">
        <v>0.33333333333333331</v>
      </c>
      <c r="H9" s="1"/>
    </row>
    <row r="10" spans="1:8" ht="14.4" customHeight="1" x14ac:dyDescent="0.3">
      <c r="A10" s="1" t="s">
        <v>59</v>
      </c>
      <c r="B10" s="1" t="s">
        <v>10</v>
      </c>
      <c r="C10" s="1">
        <v>19100</v>
      </c>
      <c r="D10" s="1">
        <v>14000</v>
      </c>
      <c r="E10" s="1">
        <v>20560</v>
      </c>
      <c r="F10" s="1">
        <v>16720</v>
      </c>
      <c r="G10" s="3">
        <v>0.28327546296296297</v>
      </c>
    </row>
    <row r="11" spans="1:8" ht="14.4" customHeight="1" x14ac:dyDescent="0.3"/>
    <row r="12" spans="1:8" ht="14.4" customHeight="1" x14ac:dyDescent="0.3">
      <c r="A12" s="7" t="s">
        <v>33</v>
      </c>
      <c r="B12" s="7"/>
      <c r="C12" s="7"/>
      <c r="D12" s="7"/>
      <c r="E12" s="7"/>
      <c r="F12" s="7"/>
      <c r="G12" s="7"/>
    </row>
    <row r="13" spans="1:8" ht="14.4" customHeight="1" x14ac:dyDescent="0.3">
      <c r="A13" s="1" t="s">
        <v>0</v>
      </c>
      <c r="B13" s="1" t="s">
        <v>1</v>
      </c>
      <c r="C13" s="1" t="s">
        <v>17</v>
      </c>
      <c r="D13" s="1" t="s">
        <v>18</v>
      </c>
      <c r="E13" s="1" t="s">
        <v>19</v>
      </c>
      <c r="F13" s="1" t="s">
        <v>20</v>
      </c>
      <c r="G13" s="1" t="s">
        <v>22</v>
      </c>
    </row>
    <row r="14" spans="1:8" ht="14.4" customHeight="1" x14ac:dyDescent="0.3">
      <c r="A14" s="1" t="s">
        <v>62</v>
      </c>
      <c r="B14" s="1" t="s">
        <v>25</v>
      </c>
      <c r="C14" s="1">
        <v>790</v>
      </c>
      <c r="D14" s="1">
        <v>500</v>
      </c>
      <c r="E14" s="1">
        <v>1360</v>
      </c>
      <c r="F14" s="1">
        <v>520</v>
      </c>
      <c r="G14" s="3">
        <v>6.8750000000000006E-2</v>
      </c>
    </row>
    <row r="15" spans="1:8" ht="14.4" customHeight="1" x14ac:dyDescent="0.3">
      <c r="A15" s="1" t="s">
        <v>63</v>
      </c>
      <c r="B15" s="1" t="s">
        <v>26</v>
      </c>
      <c r="C15" s="1">
        <v>1120</v>
      </c>
      <c r="D15" s="1">
        <v>820</v>
      </c>
      <c r="E15" s="1">
        <v>1960</v>
      </c>
      <c r="F15" s="1">
        <v>640</v>
      </c>
      <c r="G15" s="3">
        <v>7.0833333333333331E-2</v>
      </c>
    </row>
    <row r="16" spans="1:8" ht="14.4" customHeight="1" x14ac:dyDescent="0.3">
      <c r="A16" s="1" t="s">
        <v>65</v>
      </c>
      <c r="B16" s="1" t="s">
        <v>27</v>
      </c>
      <c r="C16" s="1">
        <v>1120</v>
      </c>
      <c r="D16" s="1">
        <v>700</v>
      </c>
      <c r="E16" s="1">
        <v>360</v>
      </c>
      <c r="F16" s="1">
        <v>400</v>
      </c>
      <c r="G16" s="3">
        <v>6.805555555555555E-2</v>
      </c>
    </row>
    <row r="17" spans="1:8" ht="14.4" customHeight="1" x14ac:dyDescent="0.3">
      <c r="A17" s="1" t="s">
        <v>66</v>
      </c>
      <c r="B17" s="1" t="s">
        <v>28</v>
      </c>
      <c r="C17" s="1">
        <v>2260</v>
      </c>
      <c r="D17" s="1">
        <v>1420</v>
      </c>
      <c r="E17" s="1">
        <v>2440</v>
      </c>
      <c r="F17" s="1">
        <v>880</v>
      </c>
      <c r="G17" s="3">
        <v>0.10972222222222222</v>
      </c>
    </row>
    <row r="18" spans="1:8" ht="14.4" customHeight="1" x14ac:dyDescent="0.3">
      <c r="A18" s="1" t="s">
        <v>64</v>
      </c>
      <c r="B18" s="1" t="s">
        <v>29</v>
      </c>
      <c r="C18" s="1">
        <v>2800</v>
      </c>
      <c r="D18" s="1">
        <v>2340</v>
      </c>
      <c r="E18" s="1">
        <v>5080</v>
      </c>
      <c r="F18" s="1">
        <v>1240</v>
      </c>
      <c r="G18" s="3">
        <v>0.13333333333333333</v>
      </c>
    </row>
    <row r="19" spans="1:8" ht="14.4" customHeight="1" x14ac:dyDescent="0.3">
      <c r="A19" s="1" t="s">
        <v>67</v>
      </c>
      <c r="B19" s="1" t="s">
        <v>8</v>
      </c>
      <c r="C19" s="1">
        <v>6070</v>
      </c>
      <c r="D19" s="1">
        <v>2400</v>
      </c>
      <c r="E19" s="1">
        <v>2920</v>
      </c>
      <c r="F19" s="1">
        <v>640</v>
      </c>
      <c r="G19" s="3">
        <v>0.1875</v>
      </c>
    </row>
    <row r="20" spans="1:8" ht="14.4" customHeight="1" x14ac:dyDescent="0.3">
      <c r="A20" s="1" t="s">
        <v>68</v>
      </c>
      <c r="B20" s="1" t="s">
        <v>30</v>
      </c>
      <c r="C20" s="1">
        <v>5980</v>
      </c>
      <c r="D20" s="1">
        <v>6140</v>
      </c>
      <c r="E20" s="1">
        <v>5480</v>
      </c>
      <c r="F20" s="1">
        <v>760</v>
      </c>
      <c r="G20" s="3">
        <v>0.33333333333333331</v>
      </c>
    </row>
    <row r="21" spans="1:8" ht="14.4" customHeight="1" x14ac:dyDescent="0.3">
      <c r="A21" s="1" t="s">
        <v>69</v>
      </c>
      <c r="B21" s="1" t="s">
        <v>31</v>
      </c>
      <c r="C21" s="1">
        <v>17500</v>
      </c>
      <c r="D21" s="1">
        <v>25200</v>
      </c>
      <c r="E21" s="1">
        <v>27600</v>
      </c>
      <c r="F21" s="1">
        <v>25360</v>
      </c>
      <c r="G21" s="3">
        <v>0.28327546296296297</v>
      </c>
    </row>
    <row r="22" spans="1:8" ht="14.4" customHeight="1" x14ac:dyDescent="0.3"/>
    <row r="23" spans="1:8" ht="14.4" customHeight="1" x14ac:dyDescent="0.3">
      <c r="A23" s="7" t="s">
        <v>42</v>
      </c>
      <c r="B23" s="7"/>
      <c r="C23" s="7"/>
      <c r="D23" s="7"/>
      <c r="E23" s="7"/>
      <c r="F23" s="7"/>
      <c r="G23" s="7"/>
    </row>
    <row r="24" spans="1:8" ht="14.4" customHeight="1" x14ac:dyDescent="0.3">
      <c r="A24" s="1" t="s">
        <v>0</v>
      </c>
      <c r="B24" s="1" t="s">
        <v>1</v>
      </c>
      <c r="C24" s="1" t="s">
        <v>17</v>
      </c>
      <c r="D24" s="1" t="s">
        <v>18</v>
      </c>
      <c r="E24" s="1" t="s">
        <v>19</v>
      </c>
      <c r="F24" s="1" t="s">
        <v>20</v>
      </c>
      <c r="G24" s="1" t="s">
        <v>22</v>
      </c>
    </row>
    <row r="25" spans="1:8" ht="14.4" customHeight="1" x14ac:dyDescent="0.3">
      <c r="A25" s="1" t="s">
        <v>72</v>
      </c>
      <c r="B25" s="1" t="s">
        <v>35</v>
      </c>
      <c r="C25" s="1">
        <v>1210</v>
      </c>
      <c r="D25" s="1">
        <v>700</v>
      </c>
      <c r="E25" s="1">
        <v>480</v>
      </c>
      <c r="F25" s="1">
        <v>610</v>
      </c>
      <c r="G25" s="3">
        <v>6.3611111111111104E-2</v>
      </c>
      <c r="H25" s="1"/>
    </row>
    <row r="26" spans="1:8" ht="14.4" customHeight="1" x14ac:dyDescent="0.3">
      <c r="A26" s="1" t="s">
        <v>73</v>
      </c>
      <c r="B26" s="1" t="s">
        <v>36</v>
      </c>
      <c r="C26" s="1">
        <v>970</v>
      </c>
      <c r="D26" s="1">
        <v>480</v>
      </c>
      <c r="E26" s="1">
        <v>2160</v>
      </c>
      <c r="F26" s="1">
        <v>430</v>
      </c>
      <c r="G26" s="3">
        <v>8.8055555555555554E-2</v>
      </c>
      <c r="H26" s="1"/>
    </row>
    <row r="27" spans="1:8" ht="14.4" customHeight="1" x14ac:dyDescent="0.3">
      <c r="A27" s="1" t="s">
        <v>75</v>
      </c>
      <c r="B27" s="1" t="s">
        <v>37</v>
      </c>
      <c r="C27" s="1">
        <v>880</v>
      </c>
      <c r="D27" s="1">
        <v>900</v>
      </c>
      <c r="E27" s="1">
        <v>3400</v>
      </c>
      <c r="F27" s="1">
        <v>550</v>
      </c>
      <c r="G27" s="3">
        <v>9.4166666666666662E-2</v>
      </c>
    </row>
    <row r="28" spans="1:8" ht="14.4" customHeight="1" x14ac:dyDescent="0.3">
      <c r="A28" s="1" t="s">
        <v>76</v>
      </c>
      <c r="B28" s="1" t="s">
        <v>38</v>
      </c>
      <c r="C28" s="1">
        <v>3430</v>
      </c>
      <c r="D28" s="1">
        <v>1880</v>
      </c>
      <c r="E28" s="1">
        <v>2840</v>
      </c>
      <c r="F28" s="1">
        <v>820</v>
      </c>
      <c r="G28" s="3">
        <v>0.11861111111111111</v>
      </c>
    </row>
    <row r="29" spans="1:8" ht="14.4" customHeight="1" x14ac:dyDescent="0.3">
      <c r="A29" s="1" t="s">
        <v>74</v>
      </c>
      <c r="B29" s="1" t="s">
        <v>39</v>
      </c>
      <c r="C29" s="1">
        <v>4060</v>
      </c>
      <c r="D29" s="1">
        <v>2080</v>
      </c>
      <c r="E29" s="1">
        <v>8160</v>
      </c>
      <c r="F29" s="1">
        <v>1150</v>
      </c>
      <c r="G29" s="3">
        <v>0.14000000000000001</v>
      </c>
    </row>
    <row r="30" spans="1:8" ht="14.4" customHeight="1" x14ac:dyDescent="0.3">
      <c r="A30" s="1" t="s">
        <v>77</v>
      </c>
      <c r="B30" s="1" t="s">
        <v>8</v>
      </c>
      <c r="C30" s="1">
        <v>3250</v>
      </c>
      <c r="D30" s="1">
        <v>1140</v>
      </c>
      <c r="E30" s="1">
        <v>6520</v>
      </c>
      <c r="F30" s="1">
        <v>940</v>
      </c>
      <c r="G30" s="3">
        <v>0.18124999999999999</v>
      </c>
    </row>
    <row r="31" spans="1:8" ht="14.4" customHeight="1" x14ac:dyDescent="0.3">
      <c r="A31" s="1" t="s">
        <v>78</v>
      </c>
      <c r="B31" s="1" t="s">
        <v>40</v>
      </c>
      <c r="C31" s="1">
        <v>3400</v>
      </c>
      <c r="D31" s="1">
        <v>5060</v>
      </c>
      <c r="E31" s="1">
        <v>6800</v>
      </c>
      <c r="F31" s="1">
        <v>970</v>
      </c>
      <c r="G31" s="3">
        <v>0.36458333333333331</v>
      </c>
    </row>
    <row r="32" spans="1:8" ht="14.4" customHeight="1" x14ac:dyDescent="0.3">
      <c r="A32" s="1" t="s">
        <v>79</v>
      </c>
      <c r="B32" s="1" t="s">
        <v>41</v>
      </c>
      <c r="C32" s="1">
        <v>17225</v>
      </c>
      <c r="D32" s="1" t="s">
        <v>91</v>
      </c>
      <c r="E32" s="1">
        <v>29392</v>
      </c>
      <c r="F32" s="1">
        <v>8521</v>
      </c>
      <c r="G32" s="3">
        <v>0.24523148148148149</v>
      </c>
    </row>
    <row r="33" spans="1:7" ht="14.4" customHeight="1" x14ac:dyDescent="0.3"/>
    <row r="34" spans="1:7" ht="14.4" customHeight="1" x14ac:dyDescent="0.3">
      <c r="A34" s="7" t="s">
        <v>50</v>
      </c>
      <c r="B34" s="7"/>
      <c r="C34" s="7"/>
      <c r="D34" s="7"/>
      <c r="E34" s="7"/>
      <c r="F34" s="7"/>
      <c r="G34" s="7"/>
    </row>
    <row r="35" spans="1:7" ht="14.4" customHeight="1" x14ac:dyDescent="0.3">
      <c r="A35" s="1" t="s">
        <v>0</v>
      </c>
      <c r="B35" s="1" t="s">
        <v>1</v>
      </c>
      <c r="C35" s="1" t="s">
        <v>17</v>
      </c>
      <c r="D35" s="1" t="s">
        <v>18</v>
      </c>
      <c r="E35" s="1" t="s">
        <v>19</v>
      </c>
      <c r="F35" s="1" t="s">
        <v>20</v>
      </c>
      <c r="G35" s="1" t="s">
        <v>22</v>
      </c>
    </row>
    <row r="36" spans="1:7" ht="14.4" customHeight="1" x14ac:dyDescent="0.3">
      <c r="A36" s="1" t="s">
        <v>82</v>
      </c>
      <c r="B36" s="1" t="s">
        <v>44</v>
      </c>
      <c r="C36" s="1">
        <v>850</v>
      </c>
      <c r="D36" s="1">
        <v>380</v>
      </c>
      <c r="E36" s="1">
        <v>880</v>
      </c>
      <c r="F36" s="1">
        <v>400</v>
      </c>
      <c r="G36" s="3">
        <v>5.8333333333333334E-2</v>
      </c>
    </row>
    <row r="37" spans="1:7" ht="14.4" customHeight="1" x14ac:dyDescent="0.3">
      <c r="A37" s="1" t="s">
        <v>85</v>
      </c>
      <c r="B37" s="1" t="s">
        <v>45</v>
      </c>
      <c r="C37" s="1">
        <v>1510</v>
      </c>
      <c r="D37" s="1">
        <v>980</v>
      </c>
      <c r="E37" s="1">
        <v>1800</v>
      </c>
      <c r="F37" s="1">
        <v>580</v>
      </c>
      <c r="G37" s="3">
        <v>7.4652777777777776E-2</v>
      </c>
    </row>
    <row r="38" spans="1:7" ht="14.4" customHeight="1" x14ac:dyDescent="0.3">
      <c r="A38" s="1" t="s">
        <v>84</v>
      </c>
      <c r="B38" s="1" t="s">
        <v>46</v>
      </c>
      <c r="C38" s="1">
        <v>1030</v>
      </c>
      <c r="D38" s="1">
        <v>480</v>
      </c>
      <c r="E38" s="1">
        <v>600</v>
      </c>
      <c r="F38" s="1">
        <v>460</v>
      </c>
      <c r="G38" s="3">
        <v>5.9722222222222225E-2</v>
      </c>
    </row>
    <row r="39" spans="1:7" ht="14.4" customHeight="1" x14ac:dyDescent="0.3">
      <c r="A39" s="1" t="s">
        <v>86</v>
      </c>
      <c r="B39" s="1" t="s">
        <v>47</v>
      </c>
      <c r="C39" s="1">
        <v>2410</v>
      </c>
      <c r="D39" s="1">
        <v>1280</v>
      </c>
      <c r="E39" s="1">
        <v>2520</v>
      </c>
      <c r="F39" s="1">
        <v>670</v>
      </c>
      <c r="G39" s="3">
        <v>0.11284722222222222</v>
      </c>
    </row>
    <row r="40" spans="1:7" ht="14.4" customHeight="1" x14ac:dyDescent="0.3">
      <c r="A40" s="1" t="s">
        <v>83</v>
      </c>
      <c r="B40" s="1" t="s">
        <v>48</v>
      </c>
      <c r="C40" s="1">
        <v>2950</v>
      </c>
      <c r="D40" s="1">
        <v>2240</v>
      </c>
      <c r="E40" s="1">
        <v>4320</v>
      </c>
      <c r="F40" s="1">
        <v>760</v>
      </c>
      <c r="G40" s="3">
        <v>0.12708333333333333</v>
      </c>
    </row>
    <row r="41" spans="1:7" ht="14.4" customHeight="1" x14ac:dyDescent="0.3">
      <c r="A41" s="1" t="s">
        <v>87</v>
      </c>
      <c r="B41" s="1" t="s">
        <v>8</v>
      </c>
      <c r="C41" s="1">
        <v>5800</v>
      </c>
      <c r="D41" s="1">
        <v>1400</v>
      </c>
      <c r="E41" s="1">
        <v>3200</v>
      </c>
      <c r="F41" s="1">
        <v>580</v>
      </c>
      <c r="G41" s="3">
        <v>0.16666666666666666</v>
      </c>
    </row>
    <row r="42" spans="1:7" ht="14.4" customHeight="1" x14ac:dyDescent="0.3">
      <c r="A42" s="1" t="s">
        <v>88</v>
      </c>
      <c r="B42" s="1" t="s">
        <v>9</v>
      </c>
      <c r="C42" s="1">
        <v>5200</v>
      </c>
      <c r="D42" s="1">
        <v>5000</v>
      </c>
      <c r="E42" s="1">
        <v>5200</v>
      </c>
      <c r="F42" s="1">
        <v>520</v>
      </c>
      <c r="G42" s="3">
        <v>0.33333333333333331</v>
      </c>
    </row>
    <row r="43" spans="1:7" ht="14.4" customHeight="1" x14ac:dyDescent="0.3">
      <c r="A43" s="1" t="s">
        <v>89</v>
      </c>
      <c r="B43" s="1" t="s">
        <v>49</v>
      </c>
      <c r="C43" s="1">
        <v>18250</v>
      </c>
      <c r="D43" s="1">
        <v>13500</v>
      </c>
      <c r="E43" s="1">
        <v>20400</v>
      </c>
      <c r="F43" s="1">
        <v>16480</v>
      </c>
      <c r="G43" s="3">
        <v>0.2248263888888889</v>
      </c>
    </row>
  </sheetData>
  <mergeCells count="4">
    <mergeCell ref="A1:G1"/>
    <mergeCell ref="A12:G12"/>
    <mergeCell ref="A23:G23"/>
    <mergeCell ref="A34:G34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163F-A931-41AF-A5B4-19A875782312}">
  <dimension ref="A1:F175"/>
  <sheetViews>
    <sheetView topLeftCell="A148" workbookViewId="0">
      <selection activeCell="A155" sqref="A155:F155"/>
    </sheetView>
  </sheetViews>
  <sheetFormatPr defaultRowHeight="14.4" x14ac:dyDescent="0.3"/>
  <sheetData>
    <row r="1" spans="1:6" x14ac:dyDescent="0.3">
      <c r="A1" t="s">
        <v>119</v>
      </c>
      <c r="B1" t="s">
        <v>17</v>
      </c>
      <c r="C1" t="s">
        <v>18</v>
      </c>
      <c r="D1" t="s">
        <v>19</v>
      </c>
      <c r="E1" t="s">
        <v>20</v>
      </c>
      <c r="F1" t="s">
        <v>22</v>
      </c>
    </row>
    <row r="2" spans="1:6" x14ac:dyDescent="0.3">
      <c r="A2" s="1">
        <v>1</v>
      </c>
      <c r="B2" s="1">
        <v>1010</v>
      </c>
      <c r="C2" s="1">
        <v>660</v>
      </c>
      <c r="D2" s="1">
        <v>480</v>
      </c>
      <c r="E2" s="1">
        <v>440</v>
      </c>
      <c r="F2" s="3">
        <v>4.8958333333333333E-2</v>
      </c>
    </row>
    <row r="3" spans="1:6" x14ac:dyDescent="0.3">
      <c r="A3" s="1">
        <v>2</v>
      </c>
      <c r="B3" s="1">
        <v>1760</v>
      </c>
      <c r="C3" s="1">
        <v>1150</v>
      </c>
      <c r="D3" s="1">
        <v>835</v>
      </c>
      <c r="E3" s="1">
        <v>765</v>
      </c>
      <c r="F3" s="3">
        <v>8.5243055555555558E-2</v>
      </c>
    </row>
    <row r="4" spans="1:6" x14ac:dyDescent="0.3">
      <c r="A4" s="1">
        <v>3</v>
      </c>
      <c r="B4" s="1">
        <v>2430</v>
      </c>
      <c r="C4" s="1">
        <v>1590</v>
      </c>
      <c r="D4" s="1">
        <v>1155</v>
      </c>
      <c r="E4" s="1">
        <v>1060</v>
      </c>
      <c r="F4" s="3">
        <v>0.11790509259259259</v>
      </c>
    </row>
    <row r="5" spans="1:6" x14ac:dyDescent="0.3">
      <c r="A5" s="1">
        <v>4</v>
      </c>
      <c r="B5" s="1">
        <v>3060</v>
      </c>
      <c r="C5" s="1">
        <v>2000</v>
      </c>
      <c r="D5" s="1">
        <v>1455</v>
      </c>
      <c r="E5" s="1">
        <v>1335</v>
      </c>
      <c r="F5" s="3">
        <v>0.14841435185185184</v>
      </c>
    </row>
    <row r="6" spans="1:6" x14ac:dyDescent="0.3">
      <c r="A6" s="1">
        <v>5</v>
      </c>
      <c r="B6" s="1">
        <v>3660</v>
      </c>
      <c r="C6" s="1">
        <v>2390</v>
      </c>
      <c r="D6" s="1">
        <v>1740</v>
      </c>
      <c r="E6" s="1">
        <v>1595</v>
      </c>
      <c r="F6" s="3">
        <v>0.17741898148148147</v>
      </c>
    </row>
    <row r="7" spans="1:6" x14ac:dyDescent="0.3">
      <c r="A7" s="1">
        <v>6</v>
      </c>
      <c r="B7" s="1">
        <v>4235</v>
      </c>
      <c r="C7" s="1">
        <v>2765</v>
      </c>
      <c r="D7" s="1">
        <v>2015</v>
      </c>
      <c r="E7" s="1">
        <v>1845</v>
      </c>
      <c r="F7" s="3">
        <v>0.20527777777777778</v>
      </c>
    </row>
    <row r="8" spans="1:6" x14ac:dyDescent="0.3">
      <c r="A8" s="1">
        <v>7</v>
      </c>
      <c r="B8" s="1">
        <v>4790</v>
      </c>
      <c r="C8" s="1">
        <v>3130</v>
      </c>
      <c r="D8" s="1">
        <v>2275</v>
      </c>
      <c r="E8" s="1">
        <v>2085</v>
      </c>
      <c r="F8" s="3">
        <v>0.23222222222222222</v>
      </c>
    </row>
    <row r="9" spans="1:6" x14ac:dyDescent="0.3">
      <c r="A9" s="1">
        <v>8</v>
      </c>
      <c r="B9" s="1">
        <v>5330</v>
      </c>
      <c r="C9" s="1">
        <v>3485</v>
      </c>
      <c r="D9" s="1">
        <v>2535</v>
      </c>
      <c r="E9" s="1">
        <v>2320</v>
      </c>
      <c r="F9" s="3">
        <v>0.25840277777777776</v>
      </c>
    </row>
    <row r="10" spans="1:6" x14ac:dyDescent="0.3">
      <c r="A10" s="1">
        <v>9</v>
      </c>
      <c r="B10" s="1">
        <v>5860</v>
      </c>
      <c r="C10" s="1">
        <v>3830</v>
      </c>
      <c r="D10" s="1">
        <v>2785</v>
      </c>
      <c r="E10" s="1">
        <v>2550</v>
      </c>
      <c r="F10" s="3">
        <v>0.28393518518518518</v>
      </c>
    </row>
    <row r="11" spans="1:6" x14ac:dyDescent="0.3">
      <c r="A11" s="1">
        <v>10</v>
      </c>
      <c r="B11" s="1">
        <v>6375</v>
      </c>
      <c r="C11" s="1">
        <v>4165</v>
      </c>
      <c r="D11" s="1">
        <v>3030</v>
      </c>
      <c r="E11" s="1">
        <v>2775</v>
      </c>
      <c r="F11" s="3">
        <v>0.30890046296296297</v>
      </c>
    </row>
    <row r="12" spans="1:6" x14ac:dyDescent="0.3">
      <c r="A12" s="1">
        <v>11</v>
      </c>
      <c r="B12" s="1">
        <v>6880</v>
      </c>
      <c r="C12" s="1">
        <v>4495</v>
      </c>
      <c r="D12" s="1">
        <v>3270</v>
      </c>
      <c r="E12" s="1">
        <v>2995</v>
      </c>
      <c r="F12" s="3">
        <v>0.33337962962962964</v>
      </c>
    </row>
    <row r="13" spans="1:6" x14ac:dyDescent="0.3">
      <c r="A13" s="1">
        <v>12</v>
      </c>
      <c r="B13" s="1">
        <v>7375</v>
      </c>
      <c r="C13" s="1">
        <v>4820</v>
      </c>
      <c r="D13" s="1">
        <v>3505</v>
      </c>
      <c r="E13" s="1">
        <v>3210</v>
      </c>
      <c r="F13" s="3">
        <v>0.35741898148148149</v>
      </c>
    </row>
    <row r="14" spans="1:6" x14ac:dyDescent="0.3">
      <c r="A14" s="1">
        <v>13</v>
      </c>
      <c r="B14" s="1">
        <v>7860</v>
      </c>
      <c r="C14" s="1">
        <v>5135</v>
      </c>
      <c r="D14" s="1">
        <v>3735</v>
      </c>
      <c r="E14" s="1">
        <v>3425</v>
      </c>
      <c r="F14" s="3">
        <v>0.38105324074074076</v>
      </c>
    </row>
    <row r="15" spans="1:6" x14ac:dyDescent="0.3">
      <c r="A15" s="1">
        <v>14</v>
      </c>
      <c r="B15" s="1">
        <v>8340</v>
      </c>
      <c r="C15" s="1">
        <v>5450</v>
      </c>
      <c r="D15" s="1">
        <v>3965</v>
      </c>
      <c r="E15" s="1">
        <v>3635</v>
      </c>
      <c r="F15" s="3">
        <v>0.40432870370370372</v>
      </c>
    </row>
    <row r="16" spans="1:6" x14ac:dyDescent="0.3">
      <c r="A16" s="1">
        <v>15</v>
      </c>
      <c r="B16" s="1">
        <v>8815</v>
      </c>
      <c r="C16" s="1">
        <v>5760</v>
      </c>
      <c r="D16" s="1">
        <v>4190</v>
      </c>
      <c r="E16" s="1">
        <v>3840</v>
      </c>
      <c r="F16" s="3">
        <v>0.42726851851851849</v>
      </c>
    </row>
    <row r="17" spans="1:6" x14ac:dyDescent="0.3">
      <c r="A17" s="1">
        <v>16</v>
      </c>
      <c r="B17" s="1">
        <v>9280</v>
      </c>
      <c r="C17" s="1">
        <v>6065</v>
      </c>
      <c r="D17" s="1">
        <v>4410</v>
      </c>
      <c r="E17" s="1">
        <v>4045</v>
      </c>
      <c r="F17" s="3">
        <v>0.44990740740740742</v>
      </c>
    </row>
    <row r="18" spans="1:6" x14ac:dyDescent="0.3">
      <c r="A18" s="1">
        <v>17</v>
      </c>
      <c r="B18" s="1">
        <v>9745</v>
      </c>
      <c r="C18" s="1">
        <v>6365</v>
      </c>
      <c r="D18" s="1">
        <v>4630</v>
      </c>
      <c r="E18" s="1">
        <v>4245</v>
      </c>
      <c r="F18" s="3">
        <v>0.47226851851851853</v>
      </c>
    </row>
    <row r="19" spans="1:6" x14ac:dyDescent="0.3">
      <c r="A19" s="1">
        <v>18</v>
      </c>
      <c r="B19" s="1">
        <v>10200</v>
      </c>
      <c r="C19" s="1">
        <v>6665</v>
      </c>
      <c r="D19" s="1">
        <v>4845</v>
      </c>
      <c r="E19" s="1">
        <v>4445</v>
      </c>
      <c r="F19" s="3">
        <v>0.49436342592592591</v>
      </c>
    </row>
    <row r="20" spans="1:6" x14ac:dyDescent="0.3">
      <c r="A20" s="1">
        <v>19</v>
      </c>
      <c r="B20" s="1">
        <v>10650</v>
      </c>
      <c r="C20" s="1">
        <v>6960</v>
      </c>
      <c r="D20" s="1">
        <v>5060</v>
      </c>
      <c r="E20" s="1">
        <v>4640</v>
      </c>
      <c r="F20" s="3">
        <v>0.51621527777777776</v>
      </c>
    </row>
    <row r="21" spans="1:6" x14ac:dyDescent="0.3">
      <c r="A21" s="1">
        <v>20</v>
      </c>
      <c r="B21" s="1">
        <v>11095</v>
      </c>
      <c r="C21" s="1">
        <v>7250</v>
      </c>
      <c r="D21" s="1">
        <v>5275</v>
      </c>
      <c r="E21" s="1">
        <v>4835</v>
      </c>
      <c r="F21" s="3">
        <v>0.5378356481481481</v>
      </c>
    </row>
    <row r="23" spans="1:6" x14ac:dyDescent="0.3">
      <c r="A23" t="s">
        <v>120</v>
      </c>
      <c r="B23" t="s">
        <v>17</v>
      </c>
      <c r="C23" t="s">
        <v>18</v>
      </c>
      <c r="D23" t="s">
        <v>19</v>
      </c>
      <c r="E23" t="s">
        <v>20</v>
      </c>
      <c r="F23" t="s">
        <v>22</v>
      </c>
    </row>
    <row r="24" spans="1:6" x14ac:dyDescent="0.3">
      <c r="A24" s="1">
        <v>1</v>
      </c>
      <c r="B24" s="1">
        <v>1080</v>
      </c>
      <c r="C24" s="1">
        <v>870</v>
      </c>
      <c r="D24" s="1">
        <v>620</v>
      </c>
      <c r="E24" s="1">
        <v>580</v>
      </c>
      <c r="F24" s="3">
        <v>5.9722222222222225E-2</v>
      </c>
    </row>
    <row r="25" spans="1:6" x14ac:dyDescent="0.3">
      <c r="A25" s="1">
        <v>2</v>
      </c>
      <c r="B25" s="1">
        <v>1880</v>
      </c>
      <c r="C25" s="1">
        <v>1515</v>
      </c>
      <c r="D25" s="1">
        <v>1080</v>
      </c>
      <c r="E25" s="1">
        <v>1010</v>
      </c>
      <c r="F25" s="3">
        <v>0.10398148148148148</v>
      </c>
    </row>
    <row r="26" spans="1:6" x14ac:dyDescent="0.3">
      <c r="A26" s="1">
        <v>3</v>
      </c>
      <c r="B26" s="1">
        <v>2600</v>
      </c>
      <c r="C26" s="1">
        <v>2095</v>
      </c>
      <c r="D26" s="1">
        <v>1495</v>
      </c>
      <c r="E26" s="1">
        <v>1395</v>
      </c>
      <c r="F26" s="3">
        <v>0.14381944444444444</v>
      </c>
    </row>
    <row r="27" spans="1:6" x14ac:dyDescent="0.3">
      <c r="A27" s="1">
        <v>4</v>
      </c>
      <c r="B27" s="1">
        <v>3275</v>
      </c>
      <c r="C27" s="1">
        <v>2635</v>
      </c>
      <c r="D27" s="1">
        <v>1880</v>
      </c>
      <c r="E27" s="1">
        <v>1760</v>
      </c>
      <c r="F27" s="3">
        <v>0.18104166666666666</v>
      </c>
    </row>
    <row r="28" spans="1:6" x14ac:dyDescent="0.3">
      <c r="A28" s="1">
        <v>5</v>
      </c>
      <c r="B28" s="1">
        <v>3915</v>
      </c>
      <c r="C28" s="1">
        <v>3155</v>
      </c>
      <c r="D28" s="1">
        <v>2245</v>
      </c>
      <c r="E28" s="1">
        <v>2100</v>
      </c>
      <c r="F28" s="3">
        <v>0.21642361111111111</v>
      </c>
    </row>
    <row r="29" spans="1:6" x14ac:dyDescent="0.3">
      <c r="A29" s="1">
        <v>6</v>
      </c>
      <c r="B29" s="1">
        <v>4530</v>
      </c>
      <c r="C29" s="1">
        <v>3650</v>
      </c>
      <c r="D29" s="1">
        <v>2600</v>
      </c>
      <c r="E29" s="1">
        <v>2430</v>
      </c>
      <c r="F29" s="3">
        <v>0.25041666666666668</v>
      </c>
    </row>
    <row r="30" spans="1:6" x14ac:dyDescent="0.3">
      <c r="A30" s="1">
        <v>7</v>
      </c>
      <c r="B30" s="1">
        <v>5125</v>
      </c>
      <c r="C30" s="1">
        <v>4125</v>
      </c>
      <c r="D30" s="1">
        <v>2940</v>
      </c>
      <c r="E30" s="1">
        <v>2750</v>
      </c>
      <c r="F30" s="3">
        <v>0.28327546296296297</v>
      </c>
    </row>
    <row r="31" spans="1:6" x14ac:dyDescent="0.3">
      <c r="A31" s="1">
        <v>8</v>
      </c>
      <c r="B31" s="1">
        <v>5700</v>
      </c>
      <c r="C31" s="1">
        <v>4590</v>
      </c>
      <c r="D31" s="1">
        <v>3270</v>
      </c>
      <c r="E31" s="1">
        <v>3060</v>
      </c>
      <c r="F31" s="3">
        <v>0.31521990740740741</v>
      </c>
    </row>
    <row r="32" spans="1:6" x14ac:dyDescent="0.3">
      <c r="A32" s="1">
        <v>9</v>
      </c>
      <c r="B32" s="1">
        <v>6265</v>
      </c>
      <c r="C32" s="1">
        <v>5045</v>
      </c>
      <c r="D32" s="1">
        <v>3595</v>
      </c>
      <c r="E32" s="1">
        <v>3365</v>
      </c>
      <c r="F32" s="3">
        <v>0.34636574074074072</v>
      </c>
    </row>
    <row r="33" spans="1:6" x14ac:dyDescent="0.3">
      <c r="A33" s="1">
        <v>10</v>
      </c>
      <c r="B33" s="1">
        <v>6815</v>
      </c>
      <c r="C33" s="1">
        <v>5490</v>
      </c>
      <c r="D33" s="1">
        <v>3910</v>
      </c>
      <c r="E33" s="1">
        <v>3660</v>
      </c>
      <c r="F33" s="3">
        <v>0.37681712962962965</v>
      </c>
    </row>
    <row r="34" spans="1:6" x14ac:dyDescent="0.3">
      <c r="A34" s="1">
        <v>11</v>
      </c>
      <c r="B34" s="1">
        <v>7355</v>
      </c>
      <c r="C34" s="1">
        <v>5925</v>
      </c>
      <c r="D34" s="1">
        <v>4220</v>
      </c>
      <c r="E34" s="1">
        <v>3950</v>
      </c>
      <c r="F34" s="3">
        <v>0.40667824074074072</v>
      </c>
    </row>
    <row r="35" spans="1:6" x14ac:dyDescent="0.3">
      <c r="A35" s="1">
        <v>12</v>
      </c>
      <c r="B35" s="1">
        <v>7885</v>
      </c>
      <c r="C35" s="1">
        <v>6350</v>
      </c>
      <c r="D35" s="1">
        <v>4525</v>
      </c>
      <c r="E35" s="1">
        <v>4235</v>
      </c>
      <c r="F35" s="3">
        <v>0.43599537037037039</v>
      </c>
    </row>
    <row r="36" spans="1:6" x14ac:dyDescent="0.3">
      <c r="A36" s="1">
        <v>13</v>
      </c>
      <c r="B36" s="1">
        <v>8405</v>
      </c>
      <c r="C36" s="1">
        <v>6770</v>
      </c>
      <c r="D36" s="1">
        <v>4825</v>
      </c>
      <c r="E36" s="1">
        <v>4515</v>
      </c>
      <c r="F36" s="3">
        <v>0.46482638888888889</v>
      </c>
    </row>
    <row r="37" spans="1:6" x14ac:dyDescent="0.3">
      <c r="A37" s="1">
        <v>14</v>
      </c>
      <c r="B37" s="1">
        <v>8920</v>
      </c>
      <c r="C37" s="1">
        <v>7185</v>
      </c>
      <c r="D37" s="1">
        <v>5120</v>
      </c>
      <c r="E37" s="1">
        <v>4790</v>
      </c>
      <c r="F37" s="3">
        <v>0.49321759259259257</v>
      </c>
    </row>
    <row r="38" spans="1:6" x14ac:dyDescent="0.3">
      <c r="A38" s="1">
        <v>15</v>
      </c>
      <c r="B38" s="1">
        <v>9425</v>
      </c>
      <c r="C38" s="1">
        <v>7595</v>
      </c>
      <c r="D38" s="1">
        <v>5410</v>
      </c>
      <c r="E38" s="1">
        <v>5060</v>
      </c>
      <c r="F38" s="3">
        <v>0.52120370370370372</v>
      </c>
    </row>
    <row r="39" spans="1:6" x14ac:dyDescent="0.3">
      <c r="A39" s="1">
        <v>16</v>
      </c>
      <c r="B39" s="1">
        <v>9925</v>
      </c>
      <c r="C39" s="1">
        <v>7995</v>
      </c>
      <c r="D39" s="1">
        <v>5700</v>
      </c>
      <c r="E39" s="1">
        <v>5330</v>
      </c>
      <c r="F39" s="3">
        <v>0.54881944444444442</v>
      </c>
    </row>
    <row r="40" spans="1:6" x14ac:dyDescent="0.3">
      <c r="A40" s="1">
        <v>17</v>
      </c>
      <c r="B40" s="1">
        <v>10420</v>
      </c>
      <c r="C40" s="1">
        <v>8390</v>
      </c>
      <c r="D40" s="1">
        <v>5980</v>
      </c>
      <c r="E40" s="1">
        <v>5595</v>
      </c>
      <c r="F40" s="3">
        <v>0.57609953703703709</v>
      </c>
    </row>
    <row r="41" spans="1:6" x14ac:dyDescent="0.3">
      <c r="A41" s="1">
        <v>18</v>
      </c>
      <c r="B41" s="1">
        <v>10905</v>
      </c>
      <c r="C41" s="1">
        <v>8785</v>
      </c>
      <c r="D41" s="1">
        <v>6260</v>
      </c>
      <c r="E41" s="1">
        <v>5855</v>
      </c>
      <c r="F41" s="3">
        <v>0.60305555555555557</v>
      </c>
    </row>
    <row r="42" spans="1:6" x14ac:dyDescent="0.3">
      <c r="A42" s="1">
        <v>19</v>
      </c>
      <c r="B42" s="1">
        <v>11385</v>
      </c>
      <c r="C42" s="1">
        <v>9175</v>
      </c>
      <c r="D42" s="1">
        <v>6535</v>
      </c>
      <c r="E42" s="1">
        <v>6115</v>
      </c>
      <c r="F42" s="3">
        <v>0.62971064814814814</v>
      </c>
    </row>
    <row r="43" spans="1:6" x14ac:dyDescent="0.3">
      <c r="A43" s="1">
        <v>20</v>
      </c>
      <c r="B43" s="1">
        <v>11865</v>
      </c>
      <c r="C43" s="1">
        <v>9555</v>
      </c>
      <c r="D43" s="1">
        <v>6810</v>
      </c>
      <c r="E43" s="1">
        <v>6370</v>
      </c>
      <c r="F43" s="3">
        <v>0.65608796296296301</v>
      </c>
    </row>
    <row r="45" spans="1:6" x14ac:dyDescent="0.3">
      <c r="A45" t="s">
        <v>121</v>
      </c>
      <c r="B45" t="s">
        <v>17</v>
      </c>
      <c r="C45" t="s">
        <v>18</v>
      </c>
      <c r="D45" t="s">
        <v>19</v>
      </c>
      <c r="E45" t="s">
        <v>20</v>
      </c>
      <c r="F45" t="s">
        <v>22</v>
      </c>
    </row>
    <row r="46" spans="1:6" x14ac:dyDescent="0.3">
      <c r="A46" s="1">
        <v>1</v>
      </c>
      <c r="B46" s="1">
        <v>645</v>
      </c>
      <c r="C46" s="1">
        <v>575</v>
      </c>
      <c r="D46" s="1">
        <v>170</v>
      </c>
      <c r="E46" s="1">
        <v>220</v>
      </c>
      <c r="F46" s="3">
        <v>6.805555555555555E-2</v>
      </c>
    </row>
    <row r="47" spans="1:6" x14ac:dyDescent="0.3">
      <c r="A47" s="1">
        <v>2</v>
      </c>
      <c r="B47" s="1">
        <v>1125</v>
      </c>
      <c r="C47" s="1">
        <v>1000</v>
      </c>
      <c r="D47" s="1">
        <v>295</v>
      </c>
      <c r="E47" s="1">
        <v>385</v>
      </c>
      <c r="F47" s="3">
        <v>0.11849537037037038</v>
      </c>
    </row>
    <row r="48" spans="1:6" x14ac:dyDescent="0.3">
      <c r="A48" s="1">
        <v>3</v>
      </c>
      <c r="B48" s="1">
        <v>1555</v>
      </c>
      <c r="C48" s="1">
        <v>1385</v>
      </c>
      <c r="D48" s="1">
        <v>410</v>
      </c>
      <c r="E48" s="1">
        <v>530</v>
      </c>
      <c r="F48" s="3">
        <v>0.16388888888888889</v>
      </c>
    </row>
    <row r="49" spans="1:6" x14ac:dyDescent="0.3">
      <c r="A49" s="1">
        <v>4</v>
      </c>
      <c r="B49" s="1">
        <v>1955</v>
      </c>
      <c r="C49" s="1">
        <v>1745</v>
      </c>
      <c r="D49" s="1">
        <v>515</v>
      </c>
      <c r="E49" s="1">
        <v>665</v>
      </c>
      <c r="F49" s="3">
        <v>0.20630787037037038</v>
      </c>
    </row>
    <row r="50" spans="1:6" x14ac:dyDescent="0.3">
      <c r="A50" s="1">
        <v>5</v>
      </c>
      <c r="B50" s="1">
        <v>2335</v>
      </c>
      <c r="C50" s="1">
        <v>2085</v>
      </c>
      <c r="D50" s="1">
        <v>615</v>
      </c>
      <c r="E50" s="1">
        <v>795</v>
      </c>
      <c r="F50" s="3">
        <v>0.24663194444444445</v>
      </c>
    </row>
    <row r="51" spans="1:6" x14ac:dyDescent="0.3">
      <c r="A51" s="1">
        <v>6</v>
      </c>
      <c r="B51" s="1">
        <v>2705</v>
      </c>
      <c r="C51" s="1">
        <v>2410</v>
      </c>
      <c r="D51" s="1">
        <v>715</v>
      </c>
      <c r="E51" s="1">
        <v>920</v>
      </c>
      <c r="F51" s="3">
        <v>0.28535879629629629</v>
      </c>
    </row>
    <row r="52" spans="1:6" x14ac:dyDescent="0.3">
      <c r="A52" s="1">
        <v>7</v>
      </c>
      <c r="B52" s="1">
        <v>3060</v>
      </c>
      <c r="C52" s="1">
        <v>2725</v>
      </c>
      <c r="D52" s="1">
        <v>805</v>
      </c>
      <c r="E52" s="1">
        <v>1045</v>
      </c>
      <c r="F52" s="3">
        <v>0.32280092592592591</v>
      </c>
    </row>
    <row r="53" spans="1:6" x14ac:dyDescent="0.3">
      <c r="A53" s="1">
        <v>8</v>
      </c>
      <c r="B53" s="1">
        <v>3405</v>
      </c>
      <c r="C53" s="1">
        <v>3035</v>
      </c>
      <c r="D53" s="1">
        <v>895</v>
      </c>
      <c r="E53" s="1">
        <v>1160</v>
      </c>
      <c r="F53" s="3">
        <v>0.35920138888888886</v>
      </c>
    </row>
    <row r="54" spans="1:6" x14ac:dyDescent="0.3">
      <c r="A54" s="1">
        <v>9</v>
      </c>
      <c r="B54" s="1">
        <v>3740</v>
      </c>
      <c r="C54" s="1">
        <v>3335</v>
      </c>
      <c r="D54" s="1">
        <v>985</v>
      </c>
      <c r="E54" s="1">
        <v>1275</v>
      </c>
      <c r="F54" s="3">
        <v>0.39468750000000002</v>
      </c>
    </row>
    <row r="55" spans="1:6" x14ac:dyDescent="0.3">
      <c r="A55" s="1">
        <v>10</v>
      </c>
      <c r="B55" s="1">
        <v>4070</v>
      </c>
      <c r="C55" s="1">
        <v>3630</v>
      </c>
      <c r="D55" s="1">
        <v>1075</v>
      </c>
      <c r="E55" s="1">
        <v>1390</v>
      </c>
      <c r="F55" s="3">
        <v>0.42939814814814814</v>
      </c>
    </row>
    <row r="56" spans="1:6" x14ac:dyDescent="0.3">
      <c r="A56" s="1">
        <v>11</v>
      </c>
      <c r="B56" s="1">
        <v>4390</v>
      </c>
      <c r="C56" s="1">
        <v>3915</v>
      </c>
      <c r="D56" s="1">
        <v>1160</v>
      </c>
      <c r="E56" s="1">
        <v>1500</v>
      </c>
      <c r="F56" s="3">
        <v>0.46342592592592591</v>
      </c>
    </row>
    <row r="57" spans="1:6" x14ac:dyDescent="0.3">
      <c r="A57" s="1">
        <v>12</v>
      </c>
      <c r="B57" s="1">
        <v>4710</v>
      </c>
      <c r="C57" s="1">
        <v>4200</v>
      </c>
      <c r="D57" s="1">
        <v>1240</v>
      </c>
      <c r="E57" s="1">
        <v>1605</v>
      </c>
      <c r="F57" s="3">
        <v>0.49682870370370369</v>
      </c>
    </row>
    <row r="58" spans="1:6" x14ac:dyDescent="0.3">
      <c r="A58" s="1">
        <v>13</v>
      </c>
      <c r="B58" s="1">
        <v>5020</v>
      </c>
      <c r="C58" s="1">
        <v>4475</v>
      </c>
      <c r="D58" s="1">
        <v>1325</v>
      </c>
      <c r="E58" s="1">
        <v>1710</v>
      </c>
      <c r="F58" s="3">
        <v>0.52968749999999998</v>
      </c>
    </row>
    <row r="59" spans="1:6" x14ac:dyDescent="0.3">
      <c r="A59" s="1">
        <v>14</v>
      </c>
      <c r="B59" s="1">
        <v>5325</v>
      </c>
      <c r="C59" s="1">
        <v>4750</v>
      </c>
      <c r="D59" s="1">
        <v>1405</v>
      </c>
      <c r="E59" s="1">
        <v>1815</v>
      </c>
      <c r="F59" s="3">
        <v>0.562037037037037</v>
      </c>
    </row>
    <row r="60" spans="1:6" x14ac:dyDescent="0.3">
      <c r="A60" s="1">
        <v>15</v>
      </c>
      <c r="B60" s="1">
        <v>5630</v>
      </c>
      <c r="C60" s="1">
        <v>5020</v>
      </c>
      <c r="D60" s="1">
        <v>1485</v>
      </c>
      <c r="E60" s="1">
        <v>1920</v>
      </c>
      <c r="F60" s="3">
        <v>0.59393518518518518</v>
      </c>
    </row>
    <row r="61" spans="1:6" x14ac:dyDescent="0.3">
      <c r="A61" s="1">
        <v>16</v>
      </c>
      <c r="B61" s="1">
        <v>5925</v>
      </c>
      <c r="C61" s="1">
        <v>5285</v>
      </c>
      <c r="D61" s="1">
        <v>1560</v>
      </c>
      <c r="E61" s="1">
        <v>2020</v>
      </c>
      <c r="F61" s="3">
        <v>0.62540509259259258</v>
      </c>
    </row>
    <row r="62" spans="1:6" x14ac:dyDescent="0.3">
      <c r="A62" s="1">
        <v>17</v>
      </c>
      <c r="B62" s="1">
        <v>6220</v>
      </c>
      <c r="C62" s="1">
        <v>5545</v>
      </c>
      <c r="D62" s="1">
        <v>1640</v>
      </c>
      <c r="E62" s="1">
        <v>2120</v>
      </c>
      <c r="F62" s="3">
        <v>0.65648148148148144</v>
      </c>
    </row>
    <row r="63" spans="1:6" x14ac:dyDescent="0.3">
      <c r="A63" s="1">
        <v>18</v>
      </c>
      <c r="B63" s="1">
        <v>6515</v>
      </c>
      <c r="C63" s="1">
        <v>5805</v>
      </c>
      <c r="D63" s="1">
        <v>1715</v>
      </c>
      <c r="E63" s="1">
        <v>2220</v>
      </c>
      <c r="F63" s="3">
        <v>0.6871990740740741</v>
      </c>
    </row>
    <row r="64" spans="1:6" x14ac:dyDescent="0.3">
      <c r="A64" s="1">
        <v>19</v>
      </c>
      <c r="B64" s="1">
        <v>6800</v>
      </c>
      <c r="C64" s="1">
        <v>6065</v>
      </c>
      <c r="D64" s="1">
        <v>1790</v>
      </c>
      <c r="E64" s="1">
        <v>2320</v>
      </c>
      <c r="F64" s="3">
        <v>0.71756944444444448</v>
      </c>
    </row>
    <row r="65" spans="1:6" x14ac:dyDescent="0.3">
      <c r="A65" s="1">
        <v>20</v>
      </c>
      <c r="B65" s="1">
        <v>7085</v>
      </c>
      <c r="C65" s="1">
        <v>6315</v>
      </c>
      <c r="D65" s="1">
        <v>1870</v>
      </c>
      <c r="E65" s="1">
        <v>2415</v>
      </c>
      <c r="F65" s="3">
        <v>0.74762731481481481</v>
      </c>
    </row>
    <row r="67" spans="1:6" x14ac:dyDescent="0.3">
      <c r="A67" t="s">
        <v>122</v>
      </c>
      <c r="B67" t="s">
        <v>17</v>
      </c>
      <c r="C67" t="s">
        <v>18</v>
      </c>
      <c r="D67" t="s">
        <v>19</v>
      </c>
      <c r="E67" t="s">
        <v>20</v>
      </c>
      <c r="F67" t="s">
        <v>22</v>
      </c>
    </row>
    <row r="68" spans="1:6" x14ac:dyDescent="0.3">
      <c r="A68" s="1">
        <v>1</v>
      </c>
      <c r="B68" s="1">
        <v>1065</v>
      </c>
      <c r="C68" s="1">
        <v>1345</v>
      </c>
      <c r="D68" s="1">
        <v>765</v>
      </c>
      <c r="E68" s="1">
        <v>240</v>
      </c>
      <c r="F68" s="3">
        <v>0.10416666666666667</v>
      </c>
    </row>
    <row r="69" spans="1:6" x14ac:dyDescent="0.3">
      <c r="A69" s="1">
        <v>2</v>
      </c>
      <c r="B69" s="1">
        <v>1855</v>
      </c>
      <c r="C69" s="1">
        <v>2340</v>
      </c>
      <c r="D69" s="1">
        <v>1330</v>
      </c>
      <c r="E69" s="1">
        <v>415</v>
      </c>
      <c r="F69" s="3">
        <v>0.18136574074074074</v>
      </c>
    </row>
    <row r="70" spans="1:6" x14ac:dyDescent="0.3">
      <c r="A70" s="1">
        <v>3</v>
      </c>
      <c r="B70" s="1">
        <v>2565</v>
      </c>
      <c r="C70" s="1">
        <v>3240</v>
      </c>
      <c r="D70" s="1">
        <v>1840</v>
      </c>
      <c r="E70" s="1">
        <v>570</v>
      </c>
      <c r="F70" s="3">
        <v>0.25085648148148149</v>
      </c>
    </row>
    <row r="71" spans="1:6" x14ac:dyDescent="0.3">
      <c r="A71" s="1">
        <v>4</v>
      </c>
      <c r="B71" s="1">
        <v>3230</v>
      </c>
      <c r="C71" s="1">
        <v>4075</v>
      </c>
      <c r="D71" s="1">
        <v>2320</v>
      </c>
      <c r="E71" s="1">
        <v>720</v>
      </c>
      <c r="F71" s="3">
        <v>0.31577546296296294</v>
      </c>
    </row>
    <row r="72" spans="1:6" x14ac:dyDescent="0.3">
      <c r="A72" s="1">
        <v>5</v>
      </c>
      <c r="B72" s="1">
        <v>3860</v>
      </c>
      <c r="C72" s="1">
        <v>4875</v>
      </c>
      <c r="D72" s="1">
        <v>2770</v>
      </c>
      <c r="E72" s="1">
        <v>860</v>
      </c>
      <c r="F72" s="3">
        <v>0.37748842592592591</v>
      </c>
    </row>
    <row r="73" spans="1:6" x14ac:dyDescent="0.3">
      <c r="A73" s="1">
        <v>6</v>
      </c>
      <c r="B73" s="1">
        <v>4465</v>
      </c>
      <c r="C73" s="1">
        <v>5640</v>
      </c>
      <c r="D73" s="1">
        <v>3210</v>
      </c>
      <c r="E73" s="1">
        <v>995</v>
      </c>
      <c r="F73" s="3">
        <v>0.43677083333333333</v>
      </c>
    </row>
    <row r="74" spans="1:6" x14ac:dyDescent="0.3">
      <c r="A74" s="1">
        <v>7</v>
      </c>
      <c r="B74" s="1">
        <v>5050</v>
      </c>
      <c r="C74" s="1">
        <v>6380</v>
      </c>
      <c r="D74" s="1">
        <v>3630</v>
      </c>
      <c r="E74" s="1">
        <v>1125</v>
      </c>
      <c r="F74" s="3">
        <v>0.49408564814814815</v>
      </c>
    </row>
    <row r="75" spans="1:6" x14ac:dyDescent="0.3">
      <c r="A75" s="1">
        <v>8</v>
      </c>
      <c r="B75" s="1">
        <v>5620</v>
      </c>
      <c r="C75" s="1">
        <v>7100</v>
      </c>
      <c r="D75" s="1">
        <v>4040</v>
      </c>
      <c r="E75" s="1">
        <v>1255</v>
      </c>
      <c r="F75" s="3">
        <v>0.54979166666666668</v>
      </c>
    </row>
    <row r="76" spans="1:6" x14ac:dyDescent="0.3">
      <c r="A76" s="1">
        <v>9</v>
      </c>
      <c r="B76" s="1">
        <v>6175</v>
      </c>
      <c r="C76" s="1">
        <v>7800</v>
      </c>
      <c r="D76" s="1">
        <v>4435</v>
      </c>
      <c r="E76" s="1">
        <v>1375</v>
      </c>
      <c r="F76" s="3">
        <v>0.60412037037037036</v>
      </c>
    </row>
    <row r="77" spans="1:6" x14ac:dyDescent="0.3">
      <c r="A77" s="1">
        <v>10</v>
      </c>
      <c r="B77" s="1">
        <v>6720</v>
      </c>
      <c r="C77" s="1">
        <v>8485</v>
      </c>
      <c r="D77" s="1">
        <v>4825</v>
      </c>
      <c r="E77" s="1">
        <v>1500</v>
      </c>
      <c r="F77" s="3">
        <v>0.65724537037037034</v>
      </c>
    </row>
    <row r="78" spans="1:6" x14ac:dyDescent="0.3">
      <c r="A78" s="1">
        <v>11</v>
      </c>
      <c r="B78" s="1">
        <v>7250</v>
      </c>
      <c r="C78" s="1">
        <v>9160</v>
      </c>
      <c r="D78" s="1">
        <v>5210</v>
      </c>
      <c r="E78" s="1">
        <v>1615</v>
      </c>
      <c r="F78" s="3">
        <v>0.70931712962962967</v>
      </c>
    </row>
    <row r="79" spans="1:6" x14ac:dyDescent="0.3">
      <c r="A79" s="1">
        <v>12</v>
      </c>
      <c r="B79" s="1">
        <v>7775</v>
      </c>
      <c r="C79" s="1">
        <v>9820</v>
      </c>
      <c r="D79" s="1">
        <v>5585</v>
      </c>
      <c r="E79" s="1">
        <v>1735</v>
      </c>
      <c r="F79" s="3">
        <v>0.76045138888888886</v>
      </c>
    </row>
    <row r="80" spans="1:6" x14ac:dyDescent="0.3">
      <c r="A80" s="1">
        <v>13</v>
      </c>
      <c r="B80" s="1">
        <v>8290</v>
      </c>
      <c r="C80" s="1">
        <v>10470</v>
      </c>
      <c r="D80" s="1">
        <v>5955</v>
      </c>
      <c r="E80" s="1">
        <v>1850</v>
      </c>
      <c r="F80" s="3">
        <v>0.81074074074074076</v>
      </c>
    </row>
    <row r="81" spans="1:6" x14ac:dyDescent="0.3">
      <c r="A81" s="1">
        <v>14</v>
      </c>
      <c r="B81" s="1">
        <v>8795</v>
      </c>
      <c r="C81" s="1">
        <v>11110</v>
      </c>
      <c r="D81" s="1">
        <v>6320</v>
      </c>
      <c r="E81" s="1">
        <v>1960</v>
      </c>
      <c r="F81" s="3">
        <v>0.86026620370370366</v>
      </c>
    </row>
    <row r="82" spans="1:6" x14ac:dyDescent="0.3">
      <c r="A82" s="1">
        <v>15</v>
      </c>
      <c r="B82" s="1">
        <v>9295</v>
      </c>
      <c r="C82" s="1">
        <v>11740</v>
      </c>
      <c r="D82" s="1">
        <v>6675</v>
      </c>
      <c r="E82" s="1">
        <v>2075</v>
      </c>
      <c r="F82" s="3">
        <v>0.90907407407407403</v>
      </c>
    </row>
    <row r="83" spans="1:6" x14ac:dyDescent="0.3">
      <c r="A83" s="1">
        <v>16</v>
      </c>
      <c r="B83" s="1">
        <v>9785</v>
      </c>
      <c r="C83" s="1">
        <v>12360</v>
      </c>
      <c r="D83" s="1">
        <v>7030</v>
      </c>
      <c r="E83" s="1">
        <v>2185</v>
      </c>
      <c r="F83" s="3">
        <v>0.95724537037037039</v>
      </c>
    </row>
    <row r="84" spans="1:6" x14ac:dyDescent="0.3">
      <c r="A84" s="1">
        <v>17</v>
      </c>
      <c r="B84" s="1">
        <v>10275</v>
      </c>
      <c r="C84" s="1">
        <v>12975</v>
      </c>
      <c r="D84" s="1">
        <v>7380</v>
      </c>
      <c r="E84" s="1">
        <v>2290</v>
      </c>
      <c r="F84" s="4">
        <v>1.0048148148148148</v>
      </c>
    </row>
    <row r="85" spans="1:6" x14ac:dyDescent="0.3">
      <c r="A85" s="1">
        <v>18</v>
      </c>
      <c r="B85" s="1">
        <v>10755</v>
      </c>
      <c r="C85" s="1">
        <v>13580</v>
      </c>
      <c r="D85" s="1">
        <v>7725</v>
      </c>
      <c r="E85" s="1">
        <v>2400</v>
      </c>
      <c r="F85" s="4">
        <v>1.0518287037037037</v>
      </c>
    </row>
    <row r="86" spans="1:6" x14ac:dyDescent="0.3">
      <c r="A86" s="1">
        <v>19</v>
      </c>
      <c r="B86" s="1">
        <v>11230</v>
      </c>
      <c r="C86" s="1">
        <v>14180</v>
      </c>
      <c r="D86" s="1">
        <v>8065</v>
      </c>
      <c r="E86" s="1">
        <v>2505</v>
      </c>
      <c r="F86" s="4">
        <v>1.0983217592592593</v>
      </c>
    </row>
    <row r="87" spans="1:6" x14ac:dyDescent="0.3">
      <c r="A87" s="1">
        <v>20</v>
      </c>
      <c r="B87" s="1">
        <v>11700</v>
      </c>
      <c r="C87" s="1">
        <v>14775</v>
      </c>
      <c r="D87" s="1">
        <v>8405</v>
      </c>
      <c r="E87" s="1">
        <v>2610</v>
      </c>
      <c r="F87" s="4">
        <v>1.1443287037037038</v>
      </c>
    </row>
    <row r="89" spans="1:6" x14ac:dyDescent="0.3">
      <c r="A89" t="s">
        <v>123</v>
      </c>
      <c r="B89" t="s">
        <v>17</v>
      </c>
      <c r="C89" t="s">
        <v>18</v>
      </c>
      <c r="D89" t="s">
        <v>19</v>
      </c>
      <c r="E89" t="s">
        <v>20</v>
      </c>
      <c r="F89" t="s">
        <v>22</v>
      </c>
    </row>
    <row r="90" spans="1:6" x14ac:dyDescent="0.3">
      <c r="A90" s="1">
        <v>1</v>
      </c>
      <c r="B90" s="1">
        <v>1170</v>
      </c>
      <c r="C90" s="1">
        <v>1275</v>
      </c>
      <c r="D90" s="1">
        <v>1255</v>
      </c>
      <c r="E90" s="1">
        <v>255</v>
      </c>
      <c r="F90" s="3">
        <v>0.10694444444444444</v>
      </c>
    </row>
    <row r="91" spans="1:6" x14ac:dyDescent="0.3">
      <c r="A91" s="1">
        <v>2</v>
      </c>
      <c r="B91" s="1">
        <v>2035</v>
      </c>
      <c r="C91" s="1">
        <v>2220</v>
      </c>
      <c r="D91" s="1">
        <v>2185</v>
      </c>
      <c r="E91" s="1">
        <v>445</v>
      </c>
      <c r="F91" s="3">
        <v>0.1862037037037037</v>
      </c>
    </row>
    <row r="92" spans="1:6" x14ac:dyDescent="0.3">
      <c r="A92" s="1">
        <v>3</v>
      </c>
      <c r="B92" s="1">
        <v>2820</v>
      </c>
      <c r="C92" s="1">
        <v>3070</v>
      </c>
      <c r="D92" s="1">
        <v>3020</v>
      </c>
      <c r="E92" s="1">
        <v>615</v>
      </c>
      <c r="F92" s="3">
        <v>0.25754629629629627</v>
      </c>
    </row>
    <row r="93" spans="1:6" x14ac:dyDescent="0.3">
      <c r="A93" s="1">
        <v>4</v>
      </c>
      <c r="B93" s="1">
        <v>3545</v>
      </c>
      <c r="C93" s="1">
        <v>3865</v>
      </c>
      <c r="D93" s="1">
        <v>3805</v>
      </c>
      <c r="E93" s="1">
        <v>775</v>
      </c>
      <c r="F93" s="3">
        <v>0.32418981481481479</v>
      </c>
    </row>
    <row r="94" spans="1:6" x14ac:dyDescent="0.3">
      <c r="A94" s="1">
        <v>5</v>
      </c>
      <c r="B94" s="1">
        <v>4240</v>
      </c>
      <c r="C94" s="1">
        <v>4620</v>
      </c>
      <c r="D94" s="1">
        <v>4550</v>
      </c>
      <c r="E94" s="1">
        <v>925</v>
      </c>
      <c r="F94" s="3">
        <v>0.38755787037037037</v>
      </c>
    </row>
    <row r="95" spans="1:6" x14ac:dyDescent="0.3">
      <c r="A95" s="1">
        <v>6</v>
      </c>
      <c r="B95" s="1">
        <v>4905</v>
      </c>
      <c r="C95" s="1">
        <v>5345</v>
      </c>
      <c r="D95" s="1">
        <v>5260</v>
      </c>
      <c r="E95" s="1">
        <v>1070</v>
      </c>
      <c r="F95" s="3">
        <v>0.44841435185185186</v>
      </c>
    </row>
    <row r="96" spans="1:6" x14ac:dyDescent="0.3">
      <c r="A96" s="1">
        <v>7</v>
      </c>
      <c r="B96" s="1">
        <v>5550</v>
      </c>
      <c r="C96" s="1">
        <v>6050</v>
      </c>
      <c r="D96" s="1">
        <v>5955</v>
      </c>
      <c r="E96" s="1">
        <v>1210</v>
      </c>
      <c r="F96" s="3">
        <v>0.50726851851851851</v>
      </c>
    </row>
    <row r="97" spans="1:6" x14ac:dyDescent="0.3">
      <c r="A97" s="1">
        <v>8</v>
      </c>
      <c r="B97" s="1">
        <v>6175</v>
      </c>
      <c r="C97" s="1">
        <v>6730</v>
      </c>
      <c r="D97" s="1">
        <v>6625</v>
      </c>
      <c r="E97" s="1">
        <v>1345</v>
      </c>
      <c r="F97" s="3">
        <v>0.56445601851851857</v>
      </c>
    </row>
    <row r="98" spans="1:6" x14ac:dyDescent="0.3">
      <c r="A98" s="1">
        <v>9</v>
      </c>
      <c r="B98" s="1">
        <v>6785</v>
      </c>
      <c r="C98" s="1">
        <v>7395</v>
      </c>
      <c r="D98" s="1">
        <v>7280</v>
      </c>
      <c r="E98" s="1">
        <v>1480</v>
      </c>
      <c r="F98" s="3">
        <v>0.62023148148148144</v>
      </c>
    </row>
    <row r="99" spans="1:6" x14ac:dyDescent="0.3">
      <c r="A99" s="1">
        <v>10</v>
      </c>
      <c r="B99" s="1">
        <v>7380</v>
      </c>
      <c r="C99" s="1">
        <v>8045</v>
      </c>
      <c r="D99" s="1">
        <v>7920</v>
      </c>
      <c r="E99" s="1">
        <v>1610</v>
      </c>
      <c r="F99" s="3">
        <v>0.67476851851851849</v>
      </c>
    </row>
    <row r="100" spans="1:6" x14ac:dyDescent="0.3">
      <c r="A100" s="1">
        <v>11</v>
      </c>
      <c r="B100" s="1">
        <v>7965</v>
      </c>
      <c r="C100" s="1">
        <v>8680</v>
      </c>
      <c r="D100" s="1">
        <v>8545</v>
      </c>
      <c r="E100" s="1">
        <v>1735</v>
      </c>
      <c r="F100" s="3">
        <v>0.72824074074074074</v>
      </c>
    </row>
    <row r="101" spans="1:6" x14ac:dyDescent="0.3">
      <c r="A101" s="1">
        <v>12</v>
      </c>
      <c r="B101" s="1">
        <v>8540</v>
      </c>
      <c r="C101" s="1">
        <v>9310</v>
      </c>
      <c r="D101" s="1">
        <v>9160</v>
      </c>
      <c r="E101" s="1">
        <v>1860</v>
      </c>
      <c r="F101" s="3">
        <v>0.7807291666666667</v>
      </c>
    </row>
    <row r="102" spans="1:6" x14ac:dyDescent="0.3">
      <c r="A102" s="1">
        <v>13</v>
      </c>
      <c r="B102" s="1">
        <v>9105</v>
      </c>
      <c r="C102" s="1">
        <v>9925</v>
      </c>
      <c r="D102" s="1">
        <v>9770</v>
      </c>
      <c r="E102" s="1">
        <v>1985</v>
      </c>
      <c r="F102" s="3">
        <v>0.83236111111111111</v>
      </c>
    </row>
    <row r="103" spans="1:6" x14ac:dyDescent="0.3">
      <c r="A103" s="1">
        <v>14</v>
      </c>
      <c r="B103" s="1">
        <v>9660</v>
      </c>
      <c r="C103" s="1">
        <v>10530</v>
      </c>
      <c r="D103" s="1">
        <v>10365</v>
      </c>
      <c r="E103" s="1">
        <v>2105</v>
      </c>
      <c r="F103" s="3">
        <v>0.88320601851851854</v>
      </c>
    </row>
    <row r="104" spans="1:6" x14ac:dyDescent="0.3">
      <c r="A104" s="1">
        <v>15</v>
      </c>
      <c r="B104" s="1">
        <v>10210</v>
      </c>
      <c r="C104" s="1">
        <v>11125</v>
      </c>
      <c r="D104" s="1">
        <v>10955</v>
      </c>
      <c r="E104" s="1">
        <v>2225</v>
      </c>
      <c r="F104" s="3">
        <v>0.93332175925925931</v>
      </c>
    </row>
    <row r="105" spans="1:6" x14ac:dyDescent="0.3">
      <c r="A105" s="1">
        <v>16</v>
      </c>
      <c r="B105" s="1">
        <v>10750</v>
      </c>
      <c r="C105" s="1">
        <v>11715</v>
      </c>
      <c r="D105" s="1">
        <v>11535</v>
      </c>
      <c r="E105" s="1">
        <v>2345</v>
      </c>
      <c r="F105" s="3">
        <v>0.98277777777777775</v>
      </c>
    </row>
    <row r="106" spans="1:6" x14ac:dyDescent="0.3">
      <c r="A106" s="1">
        <v>17</v>
      </c>
      <c r="B106" s="1">
        <v>11285</v>
      </c>
      <c r="C106" s="1">
        <v>12300</v>
      </c>
      <c r="D106" s="1">
        <v>12105</v>
      </c>
      <c r="E106" s="1">
        <v>2460</v>
      </c>
      <c r="F106" s="4">
        <v>1.0316087962962963</v>
      </c>
    </row>
    <row r="107" spans="1:6" x14ac:dyDescent="0.3">
      <c r="A107" s="1">
        <v>18</v>
      </c>
      <c r="B107" s="1">
        <v>11815</v>
      </c>
      <c r="C107" s="1">
        <v>12875</v>
      </c>
      <c r="D107" s="1">
        <v>12670</v>
      </c>
      <c r="E107" s="1">
        <v>2575</v>
      </c>
      <c r="F107" s="4">
        <v>1.0798842592592592</v>
      </c>
    </row>
    <row r="108" spans="1:6" x14ac:dyDescent="0.3">
      <c r="A108" s="1">
        <v>19</v>
      </c>
      <c r="B108" s="1">
        <v>12335</v>
      </c>
      <c r="C108" s="1">
        <v>13445</v>
      </c>
      <c r="D108" s="1">
        <v>13235</v>
      </c>
      <c r="E108" s="1">
        <v>2690</v>
      </c>
      <c r="F108" s="4">
        <v>1.1276157407407408</v>
      </c>
    </row>
    <row r="109" spans="1:6" x14ac:dyDescent="0.3">
      <c r="A109" s="1">
        <v>20</v>
      </c>
      <c r="B109" s="1">
        <v>12855</v>
      </c>
      <c r="C109" s="1">
        <v>14005</v>
      </c>
      <c r="D109" s="1">
        <v>13785</v>
      </c>
      <c r="E109" s="1">
        <v>2800</v>
      </c>
      <c r="F109" s="4">
        <v>1.1748495370370371</v>
      </c>
    </row>
    <row r="111" spans="1:6" x14ac:dyDescent="0.3">
      <c r="A111" t="s">
        <v>124</v>
      </c>
      <c r="B111" t="s">
        <v>17</v>
      </c>
      <c r="C111" t="s">
        <v>18</v>
      </c>
      <c r="D111" t="s">
        <v>19</v>
      </c>
      <c r="E111" t="s">
        <v>20</v>
      </c>
      <c r="F111" t="s">
        <v>22</v>
      </c>
    </row>
    <row r="112" spans="1:6" x14ac:dyDescent="0.3">
      <c r="A112" s="1">
        <v>1</v>
      </c>
      <c r="B112" s="1">
        <v>1085</v>
      </c>
      <c r="C112" s="1">
        <v>1340</v>
      </c>
      <c r="D112" s="1">
        <v>1490</v>
      </c>
      <c r="E112" s="1">
        <v>380</v>
      </c>
      <c r="F112" s="3">
        <v>0.12465277777777778</v>
      </c>
    </row>
    <row r="113" spans="1:6" x14ac:dyDescent="0.3">
      <c r="A113" s="1">
        <v>2</v>
      </c>
      <c r="B113" s="1">
        <v>1885</v>
      </c>
      <c r="C113" s="1">
        <v>2335</v>
      </c>
      <c r="D113" s="1">
        <v>2595</v>
      </c>
      <c r="E113" s="1">
        <v>660</v>
      </c>
      <c r="F113" s="3">
        <v>0.21703703703703703</v>
      </c>
    </row>
    <row r="114" spans="1:6" x14ac:dyDescent="0.3">
      <c r="A114" s="1">
        <v>3</v>
      </c>
      <c r="B114" s="1">
        <v>2610</v>
      </c>
      <c r="C114" s="1">
        <v>3225</v>
      </c>
      <c r="D114" s="1">
        <v>3590</v>
      </c>
      <c r="E114" s="1">
        <v>915</v>
      </c>
      <c r="F114" s="3">
        <v>0.30019675925925926</v>
      </c>
    </row>
    <row r="115" spans="1:6" x14ac:dyDescent="0.3">
      <c r="A115" s="1">
        <v>4</v>
      </c>
      <c r="B115" s="1">
        <v>3285</v>
      </c>
      <c r="C115" s="1">
        <v>4060</v>
      </c>
      <c r="D115" s="1">
        <v>4515</v>
      </c>
      <c r="E115" s="1">
        <v>1150</v>
      </c>
      <c r="F115" s="3">
        <v>0.37788194444444445</v>
      </c>
    </row>
    <row r="116" spans="1:6" x14ac:dyDescent="0.3">
      <c r="A116" s="1">
        <v>5</v>
      </c>
      <c r="B116" s="1">
        <v>3925</v>
      </c>
      <c r="C116" s="1">
        <v>4855</v>
      </c>
      <c r="D116" s="1">
        <v>5400</v>
      </c>
      <c r="E116" s="1">
        <v>1375</v>
      </c>
      <c r="F116" s="3">
        <v>0.45172453703703702</v>
      </c>
    </row>
    <row r="117" spans="1:6" x14ac:dyDescent="0.3">
      <c r="A117" s="1">
        <v>6</v>
      </c>
      <c r="B117" s="1">
        <v>4540</v>
      </c>
      <c r="C117" s="1">
        <v>5620</v>
      </c>
      <c r="D117" s="1">
        <v>6250</v>
      </c>
      <c r="E117" s="1">
        <v>1595</v>
      </c>
      <c r="F117" s="3">
        <v>0.52266203703703706</v>
      </c>
    </row>
    <row r="118" spans="1:6" x14ac:dyDescent="0.3">
      <c r="A118" s="1">
        <v>7</v>
      </c>
      <c r="B118" s="1">
        <v>5140</v>
      </c>
      <c r="C118" s="1">
        <v>6355</v>
      </c>
      <c r="D118" s="1">
        <v>7065</v>
      </c>
      <c r="E118" s="1">
        <v>1800</v>
      </c>
      <c r="F118" s="3">
        <v>0.59126157407407409</v>
      </c>
    </row>
    <row r="119" spans="1:6" x14ac:dyDescent="0.3">
      <c r="A119" s="1">
        <v>8</v>
      </c>
      <c r="B119" s="1">
        <v>5720</v>
      </c>
      <c r="C119" s="1">
        <v>7075</v>
      </c>
      <c r="D119" s="1">
        <v>7865</v>
      </c>
      <c r="E119" s="1">
        <v>2005</v>
      </c>
      <c r="F119" s="3">
        <v>0.65791666666666671</v>
      </c>
    </row>
    <row r="120" spans="1:6" x14ac:dyDescent="0.3">
      <c r="A120" s="1">
        <v>9</v>
      </c>
      <c r="B120" s="1">
        <v>6285</v>
      </c>
      <c r="C120" s="1">
        <v>7770</v>
      </c>
      <c r="D120" s="1">
        <v>8640</v>
      </c>
      <c r="E120" s="1">
        <v>2205</v>
      </c>
      <c r="F120" s="3">
        <v>0.72292824074074069</v>
      </c>
    </row>
    <row r="121" spans="1:6" x14ac:dyDescent="0.3">
      <c r="A121" s="1">
        <v>10</v>
      </c>
      <c r="B121" s="1">
        <v>6835</v>
      </c>
      <c r="C121" s="1">
        <v>8455</v>
      </c>
      <c r="D121" s="1">
        <v>9400</v>
      </c>
      <c r="E121" s="1">
        <v>2400</v>
      </c>
      <c r="F121" s="3">
        <v>0.78650462962962964</v>
      </c>
    </row>
    <row r="122" spans="1:6" x14ac:dyDescent="0.3">
      <c r="A122" s="1">
        <v>11</v>
      </c>
      <c r="B122" s="1">
        <v>7375</v>
      </c>
      <c r="C122" s="1">
        <v>9125</v>
      </c>
      <c r="D122" s="1">
        <v>10145</v>
      </c>
      <c r="E122" s="1">
        <v>2590</v>
      </c>
      <c r="F122" s="3">
        <v>0.84881944444444446</v>
      </c>
    </row>
    <row r="123" spans="1:6" x14ac:dyDescent="0.3">
      <c r="A123" s="1">
        <v>12</v>
      </c>
      <c r="B123" s="1">
        <v>7910</v>
      </c>
      <c r="C123" s="1">
        <v>9780</v>
      </c>
      <c r="D123" s="1">
        <v>10880</v>
      </c>
      <c r="E123" s="1">
        <v>2775</v>
      </c>
      <c r="F123" s="3">
        <v>0.91001157407407407</v>
      </c>
    </row>
    <row r="124" spans="1:6" x14ac:dyDescent="0.3">
      <c r="A124" s="1">
        <v>13</v>
      </c>
      <c r="B124" s="1">
        <v>8430</v>
      </c>
      <c r="C124" s="1">
        <v>10430</v>
      </c>
      <c r="D124" s="1">
        <v>11595</v>
      </c>
      <c r="E124" s="1">
        <v>2960</v>
      </c>
      <c r="F124" s="3">
        <v>0.97018518518518515</v>
      </c>
    </row>
    <row r="125" spans="1:6" x14ac:dyDescent="0.3">
      <c r="A125" s="1">
        <v>14</v>
      </c>
      <c r="B125" s="1">
        <v>8945</v>
      </c>
      <c r="C125" s="1">
        <v>11065</v>
      </c>
      <c r="D125" s="1">
        <v>12305</v>
      </c>
      <c r="E125" s="1">
        <v>3140</v>
      </c>
      <c r="F125" s="4">
        <v>1.0294444444444444</v>
      </c>
    </row>
    <row r="126" spans="1:6" x14ac:dyDescent="0.3">
      <c r="A126" s="1">
        <v>15</v>
      </c>
      <c r="B126" s="1">
        <v>9455</v>
      </c>
      <c r="C126" s="1">
        <v>11695</v>
      </c>
      <c r="D126" s="1">
        <v>13005</v>
      </c>
      <c r="E126" s="1">
        <v>3315</v>
      </c>
      <c r="F126" s="4">
        <v>1.0878703703703703</v>
      </c>
    </row>
    <row r="127" spans="1:6" x14ac:dyDescent="0.3">
      <c r="A127" s="1">
        <v>16</v>
      </c>
      <c r="B127" s="1">
        <v>9955</v>
      </c>
      <c r="C127" s="1">
        <v>12315</v>
      </c>
      <c r="D127" s="1">
        <v>13690</v>
      </c>
      <c r="E127" s="1">
        <v>3490</v>
      </c>
      <c r="F127" s="4">
        <v>1.1455092592592593</v>
      </c>
    </row>
    <row r="128" spans="1:6" x14ac:dyDescent="0.3">
      <c r="A128" s="1">
        <v>17</v>
      </c>
      <c r="B128" s="1">
        <v>10450</v>
      </c>
      <c r="C128" s="1">
        <v>12925</v>
      </c>
      <c r="D128" s="1">
        <v>14375</v>
      </c>
      <c r="E128" s="1">
        <v>3665</v>
      </c>
      <c r="F128" s="4">
        <v>1.2024305555555554</v>
      </c>
    </row>
    <row r="129" spans="1:6" x14ac:dyDescent="0.3">
      <c r="A129" s="1">
        <v>18</v>
      </c>
      <c r="B129" s="1">
        <v>10940</v>
      </c>
      <c r="C129" s="1">
        <v>13530</v>
      </c>
      <c r="D129" s="1">
        <v>15045</v>
      </c>
      <c r="E129" s="1">
        <v>3835</v>
      </c>
      <c r="F129" s="4">
        <v>1.2586921296296296</v>
      </c>
    </row>
    <row r="130" spans="1:6" x14ac:dyDescent="0.3">
      <c r="A130" s="1">
        <v>19</v>
      </c>
      <c r="B130" s="1">
        <v>11425</v>
      </c>
      <c r="C130" s="1">
        <v>14130</v>
      </c>
      <c r="D130" s="1">
        <v>15710</v>
      </c>
      <c r="E130" s="1">
        <v>4005</v>
      </c>
      <c r="F130" s="4">
        <v>1.3143287037037037</v>
      </c>
    </row>
    <row r="131" spans="1:6" x14ac:dyDescent="0.3">
      <c r="A131" s="1">
        <v>20</v>
      </c>
      <c r="B131" s="1">
        <v>11900</v>
      </c>
      <c r="C131" s="1">
        <v>14720</v>
      </c>
      <c r="D131" s="1">
        <v>16370</v>
      </c>
      <c r="E131" s="1">
        <v>4175</v>
      </c>
      <c r="F131" s="4">
        <v>1.369386574074074</v>
      </c>
    </row>
    <row r="133" spans="1:6" x14ac:dyDescent="0.3">
      <c r="A133" t="s">
        <v>125</v>
      </c>
      <c r="B133" t="s">
        <v>17</v>
      </c>
      <c r="C133" t="s">
        <v>18</v>
      </c>
      <c r="D133" t="s">
        <v>19</v>
      </c>
      <c r="E133" t="s">
        <v>20</v>
      </c>
      <c r="F133" t="s">
        <v>22</v>
      </c>
    </row>
    <row r="134" spans="1:6" x14ac:dyDescent="0.3">
      <c r="A134" s="1">
        <v>1</v>
      </c>
      <c r="B134" s="1">
        <v>2505</v>
      </c>
      <c r="C134" s="1">
        <v>805</v>
      </c>
      <c r="D134" s="1">
        <v>905</v>
      </c>
      <c r="E134" s="1">
        <v>215</v>
      </c>
      <c r="F134" s="3">
        <v>0.1736111111111111</v>
      </c>
    </row>
    <row r="135" spans="1:6" x14ac:dyDescent="0.3">
      <c r="A135" s="1">
        <v>2</v>
      </c>
      <c r="B135" s="1">
        <v>4365</v>
      </c>
      <c r="C135" s="1">
        <v>1400</v>
      </c>
      <c r="D135" s="1">
        <v>1580</v>
      </c>
      <c r="E135" s="1">
        <v>375</v>
      </c>
      <c r="F135" s="3">
        <v>0.30228009259259259</v>
      </c>
    </row>
    <row r="136" spans="1:6" x14ac:dyDescent="0.3">
      <c r="A136" s="1">
        <v>3</v>
      </c>
      <c r="B136" s="1">
        <v>6035</v>
      </c>
      <c r="C136" s="1">
        <v>1935</v>
      </c>
      <c r="D136" s="1">
        <v>2185</v>
      </c>
      <c r="E136" s="1">
        <v>520</v>
      </c>
      <c r="F136" s="3">
        <v>0.4180902777777778</v>
      </c>
    </row>
    <row r="137" spans="1:6" x14ac:dyDescent="0.3">
      <c r="A137" s="1">
        <v>4</v>
      </c>
      <c r="B137" s="1">
        <v>7600</v>
      </c>
      <c r="C137" s="1">
        <v>2435</v>
      </c>
      <c r="D137" s="1">
        <v>2750</v>
      </c>
      <c r="E137" s="1">
        <v>655</v>
      </c>
      <c r="F137" s="3">
        <v>0.52628472222222222</v>
      </c>
    </row>
    <row r="138" spans="1:6" x14ac:dyDescent="0.3">
      <c r="A138" s="1">
        <v>5</v>
      </c>
      <c r="B138" s="1">
        <v>9085</v>
      </c>
      <c r="C138" s="1">
        <v>2910</v>
      </c>
      <c r="D138" s="1">
        <v>3285</v>
      </c>
      <c r="E138" s="1">
        <v>785</v>
      </c>
      <c r="F138" s="3">
        <v>0.62914351851851846</v>
      </c>
    </row>
    <row r="139" spans="1:6" x14ac:dyDescent="0.3">
      <c r="A139" s="1">
        <v>6</v>
      </c>
      <c r="B139" s="1">
        <v>10510</v>
      </c>
      <c r="C139" s="1">
        <v>3370</v>
      </c>
      <c r="D139" s="1">
        <v>3800</v>
      </c>
      <c r="E139" s="1">
        <v>910</v>
      </c>
      <c r="F139" s="3">
        <v>0.72793981481481485</v>
      </c>
    </row>
    <row r="140" spans="1:6" x14ac:dyDescent="0.3">
      <c r="A140" s="1">
        <v>7</v>
      </c>
      <c r="B140" s="1">
        <v>11890</v>
      </c>
      <c r="C140" s="1">
        <v>3810</v>
      </c>
      <c r="D140" s="1">
        <v>4300</v>
      </c>
      <c r="E140" s="1">
        <v>1030</v>
      </c>
      <c r="F140" s="3">
        <v>0.82348379629629631</v>
      </c>
    </row>
    <row r="141" spans="1:6" x14ac:dyDescent="0.3">
      <c r="A141" s="1">
        <v>8</v>
      </c>
      <c r="B141" s="1">
        <v>13230</v>
      </c>
      <c r="C141" s="1">
        <v>4240</v>
      </c>
      <c r="D141" s="1">
        <v>4785</v>
      </c>
      <c r="E141" s="1">
        <v>1145</v>
      </c>
      <c r="F141" s="3">
        <v>0.91631944444444446</v>
      </c>
    </row>
    <row r="142" spans="1:6" x14ac:dyDescent="0.3">
      <c r="A142" s="1">
        <v>9</v>
      </c>
      <c r="B142" s="1">
        <v>14540</v>
      </c>
      <c r="C142" s="1">
        <v>4660</v>
      </c>
      <c r="D142" s="1">
        <v>5260</v>
      </c>
      <c r="E142" s="1">
        <v>1255</v>
      </c>
      <c r="F142" s="4">
        <v>1.0068634259259259</v>
      </c>
    </row>
    <row r="143" spans="1:6" x14ac:dyDescent="0.3">
      <c r="A143" s="1">
        <v>10</v>
      </c>
      <c r="B143" s="1">
        <v>15815</v>
      </c>
      <c r="C143" s="1">
        <v>5070</v>
      </c>
      <c r="D143" s="1">
        <v>5720</v>
      </c>
      <c r="E143" s="1">
        <v>1365</v>
      </c>
      <c r="F143" s="4">
        <v>1.0954166666666667</v>
      </c>
    </row>
    <row r="144" spans="1:6" x14ac:dyDescent="0.3">
      <c r="A144" s="1">
        <v>11</v>
      </c>
      <c r="B144" s="1">
        <v>17070</v>
      </c>
      <c r="C144" s="1">
        <v>5470</v>
      </c>
      <c r="D144" s="1">
        <v>6175</v>
      </c>
      <c r="E144" s="1">
        <v>1475</v>
      </c>
      <c r="F144" s="4">
        <v>1.182199074074074</v>
      </c>
    </row>
    <row r="145" spans="1:6" x14ac:dyDescent="0.3">
      <c r="A145" s="1">
        <v>12</v>
      </c>
      <c r="B145" s="1">
        <v>18300</v>
      </c>
      <c r="C145" s="1">
        <v>5865</v>
      </c>
      <c r="D145" s="1">
        <v>6620</v>
      </c>
      <c r="E145" s="1">
        <v>1580</v>
      </c>
      <c r="F145" s="4">
        <v>1.2674305555555556</v>
      </c>
    </row>
    <row r="146" spans="1:6" x14ac:dyDescent="0.3">
      <c r="A146" s="1">
        <v>13</v>
      </c>
      <c r="B146" s="1">
        <v>19510</v>
      </c>
      <c r="C146" s="1">
        <v>6250</v>
      </c>
      <c r="D146" s="1">
        <v>7055</v>
      </c>
      <c r="E146" s="1">
        <v>1685</v>
      </c>
      <c r="F146" s="4">
        <v>1.351238425925926</v>
      </c>
    </row>
    <row r="147" spans="1:6" x14ac:dyDescent="0.3">
      <c r="A147" s="1">
        <v>14</v>
      </c>
      <c r="B147" s="1">
        <v>20700</v>
      </c>
      <c r="C147" s="1">
        <v>6635</v>
      </c>
      <c r="D147" s="1">
        <v>7490</v>
      </c>
      <c r="E147" s="1">
        <v>1790</v>
      </c>
      <c r="F147" s="4">
        <v>1.4337731481481482</v>
      </c>
    </row>
    <row r="148" spans="1:6" x14ac:dyDescent="0.3">
      <c r="A148" s="1">
        <v>15</v>
      </c>
      <c r="B148" s="1">
        <v>21875</v>
      </c>
      <c r="C148" s="1">
        <v>7010</v>
      </c>
      <c r="D148" s="1">
        <v>7915</v>
      </c>
      <c r="E148" s="1">
        <v>1890</v>
      </c>
      <c r="F148" s="4">
        <v>1.5151273148148148</v>
      </c>
    </row>
    <row r="149" spans="1:6" x14ac:dyDescent="0.3">
      <c r="A149" s="1">
        <v>16</v>
      </c>
      <c r="B149" s="1">
        <v>23035</v>
      </c>
      <c r="C149" s="1">
        <v>7380</v>
      </c>
      <c r="D149" s="1">
        <v>8330</v>
      </c>
      <c r="E149" s="1">
        <v>1990</v>
      </c>
      <c r="F149" s="4">
        <v>1.5954166666666667</v>
      </c>
    </row>
    <row r="150" spans="1:6" x14ac:dyDescent="0.3">
      <c r="A150" s="1">
        <v>17</v>
      </c>
      <c r="B150" s="1">
        <v>24180</v>
      </c>
      <c r="C150" s="1">
        <v>7750</v>
      </c>
      <c r="D150" s="1">
        <v>8745</v>
      </c>
      <c r="E150" s="1">
        <v>2090</v>
      </c>
      <c r="F150" s="4">
        <v>1.6746990740740741</v>
      </c>
    </row>
    <row r="151" spans="1:6" x14ac:dyDescent="0.3">
      <c r="A151" s="1">
        <v>18</v>
      </c>
      <c r="B151" s="1">
        <v>25310</v>
      </c>
      <c r="C151" s="1">
        <v>8110</v>
      </c>
      <c r="D151" s="1">
        <v>9155</v>
      </c>
      <c r="E151" s="1">
        <v>2190</v>
      </c>
      <c r="F151" s="4">
        <v>1.7530555555555556</v>
      </c>
    </row>
    <row r="152" spans="1:6" x14ac:dyDescent="0.3">
      <c r="A152" s="1">
        <v>19</v>
      </c>
      <c r="B152" s="1">
        <v>26430</v>
      </c>
      <c r="C152" s="1">
        <v>8470</v>
      </c>
      <c r="D152" s="1">
        <v>9560</v>
      </c>
      <c r="E152" s="1">
        <v>2285</v>
      </c>
      <c r="F152" s="4">
        <v>1.8305439814814815</v>
      </c>
    </row>
    <row r="153" spans="1:6" x14ac:dyDescent="0.3">
      <c r="A153" s="1">
        <v>20</v>
      </c>
      <c r="B153" s="1">
        <v>27535</v>
      </c>
      <c r="C153" s="1">
        <v>8825</v>
      </c>
      <c r="D153" s="1">
        <v>9960</v>
      </c>
      <c r="E153" s="1">
        <v>2380</v>
      </c>
      <c r="F153" s="4">
        <v>1.9072222222222222</v>
      </c>
    </row>
    <row r="155" spans="1:6" x14ac:dyDescent="0.3">
      <c r="A155" t="s">
        <v>126</v>
      </c>
      <c r="B155" t="s">
        <v>17</v>
      </c>
      <c r="C155" t="s">
        <v>18</v>
      </c>
      <c r="D155" t="s">
        <v>19</v>
      </c>
      <c r="E155" t="s">
        <v>20</v>
      </c>
      <c r="F155" t="s">
        <v>22</v>
      </c>
    </row>
    <row r="156" spans="1:6" x14ac:dyDescent="0.3">
      <c r="A156" s="1">
        <v>1</v>
      </c>
      <c r="B156" s="1">
        <v>1125</v>
      </c>
      <c r="C156" s="1">
        <v>1510</v>
      </c>
      <c r="D156" s="1">
        <v>755</v>
      </c>
      <c r="E156" s="1">
        <v>95</v>
      </c>
      <c r="F156" s="3">
        <v>0.33333333333333331</v>
      </c>
    </row>
    <row r="157" spans="1:6" x14ac:dyDescent="0.3">
      <c r="A157" s="1">
        <v>2</v>
      </c>
      <c r="B157" s="1">
        <v>1960</v>
      </c>
      <c r="C157" s="1">
        <v>2630</v>
      </c>
      <c r="D157" s="1">
        <v>1315</v>
      </c>
      <c r="E157" s="1">
        <v>170</v>
      </c>
      <c r="F157" s="3">
        <v>0.58037037037037043</v>
      </c>
    </row>
    <row r="158" spans="1:6" x14ac:dyDescent="0.3">
      <c r="A158" s="1">
        <v>3</v>
      </c>
      <c r="B158" s="1">
        <v>2710</v>
      </c>
      <c r="C158" s="1">
        <v>3635</v>
      </c>
      <c r="D158" s="1">
        <v>1820</v>
      </c>
      <c r="E158" s="1">
        <v>235</v>
      </c>
      <c r="F158" s="3">
        <v>0.80274305555555558</v>
      </c>
    </row>
    <row r="159" spans="1:6" x14ac:dyDescent="0.3">
      <c r="A159" s="1">
        <v>4</v>
      </c>
      <c r="B159" s="1">
        <v>3410</v>
      </c>
      <c r="C159" s="1">
        <v>4575</v>
      </c>
      <c r="D159" s="1">
        <v>2295</v>
      </c>
      <c r="E159" s="1">
        <v>295</v>
      </c>
      <c r="F159" s="4">
        <v>1.0104745370370369</v>
      </c>
    </row>
    <row r="160" spans="1:6" x14ac:dyDescent="0.3">
      <c r="A160" s="1">
        <v>5</v>
      </c>
      <c r="B160" s="1">
        <v>4075</v>
      </c>
      <c r="C160" s="1">
        <v>5470</v>
      </c>
      <c r="D160" s="1">
        <v>2740</v>
      </c>
      <c r="E160" s="1">
        <v>350</v>
      </c>
      <c r="F160" s="4">
        <v>1.2079629629629629</v>
      </c>
    </row>
    <row r="161" spans="1:6" x14ac:dyDescent="0.3">
      <c r="A161" s="1">
        <v>6</v>
      </c>
      <c r="B161" s="1">
        <v>4715</v>
      </c>
      <c r="C161" s="1">
        <v>6330</v>
      </c>
      <c r="D161" s="1">
        <v>3175</v>
      </c>
      <c r="E161" s="1">
        <v>405</v>
      </c>
      <c r="F161" s="4">
        <v>1.3976504629629629</v>
      </c>
    </row>
    <row r="162" spans="1:6" x14ac:dyDescent="0.3">
      <c r="A162" s="1">
        <v>7</v>
      </c>
      <c r="B162" s="1">
        <v>5335</v>
      </c>
      <c r="C162" s="1">
        <v>7160</v>
      </c>
      <c r="D162" s="1">
        <v>3590</v>
      </c>
      <c r="E162" s="1">
        <v>460</v>
      </c>
      <c r="F162" s="4">
        <v>1.5810879629629631</v>
      </c>
    </row>
    <row r="163" spans="1:6" x14ac:dyDescent="0.3">
      <c r="A163" s="1">
        <v>8</v>
      </c>
      <c r="B163" s="1">
        <v>5940</v>
      </c>
      <c r="C163" s="1">
        <v>7970</v>
      </c>
      <c r="D163" s="1">
        <v>3995</v>
      </c>
      <c r="E163" s="1">
        <v>510</v>
      </c>
      <c r="F163" s="4">
        <v>1.7593402777777778</v>
      </c>
    </row>
    <row r="164" spans="1:6" x14ac:dyDescent="0.3">
      <c r="A164" s="1">
        <v>9</v>
      </c>
      <c r="B164" s="1">
        <v>6525</v>
      </c>
      <c r="C164" s="1">
        <v>8755</v>
      </c>
      <c r="D164" s="1">
        <v>4390</v>
      </c>
      <c r="E164" s="1">
        <v>560</v>
      </c>
      <c r="F164" s="4">
        <v>1.9331828703703704</v>
      </c>
    </row>
    <row r="165" spans="1:6" x14ac:dyDescent="0.3">
      <c r="A165" s="1">
        <v>10</v>
      </c>
      <c r="B165" s="1">
        <v>7100</v>
      </c>
      <c r="C165" s="1">
        <v>9525</v>
      </c>
      <c r="D165" s="1">
        <v>4775</v>
      </c>
      <c r="E165" s="1">
        <v>610</v>
      </c>
      <c r="F165" s="4">
        <v>2.1031944444444446</v>
      </c>
    </row>
    <row r="166" spans="1:6" x14ac:dyDescent="0.3">
      <c r="A166" s="1">
        <v>11</v>
      </c>
      <c r="B166" s="1">
        <v>7660</v>
      </c>
      <c r="C166" s="1">
        <v>10280</v>
      </c>
      <c r="D166" s="1">
        <v>5155</v>
      </c>
      <c r="E166" s="1">
        <v>660</v>
      </c>
      <c r="F166" s="4">
        <v>2.2698263888888888</v>
      </c>
    </row>
    <row r="167" spans="1:6" x14ac:dyDescent="0.3">
      <c r="A167" s="1">
        <v>12</v>
      </c>
      <c r="B167" s="1">
        <v>8215</v>
      </c>
      <c r="C167" s="1">
        <v>11025</v>
      </c>
      <c r="D167" s="1">
        <v>5525</v>
      </c>
      <c r="E167" s="1">
        <v>705</v>
      </c>
      <c r="F167" s="4">
        <v>2.4334606481481482</v>
      </c>
    </row>
    <row r="168" spans="1:6" x14ac:dyDescent="0.3">
      <c r="A168" s="1">
        <v>13</v>
      </c>
      <c r="B168" s="1">
        <v>8755</v>
      </c>
      <c r="C168" s="1">
        <v>11755</v>
      </c>
      <c r="D168" s="1">
        <v>5890</v>
      </c>
      <c r="E168" s="1">
        <v>750</v>
      </c>
      <c r="F168" s="4">
        <v>2.5943749999999999</v>
      </c>
    </row>
    <row r="169" spans="1:6" x14ac:dyDescent="0.3">
      <c r="A169" s="1">
        <v>14</v>
      </c>
      <c r="B169" s="1">
        <v>9290</v>
      </c>
      <c r="C169" s="1">
        <v>12470</v>
      </c>
      <c r="D169" s="1">
        <v>6250</v>
      </c>
      <c r="E169" s="1">
        <v>800</v>
      </c>
      <c r="F169" s="4">
        <v>2.7528356481481482</v>
      </c>
    </row>
    <row r="170" spans="1:6" x14ac:dyDescent="0.3">
      <c r="A170" s="1">
        <v>15</v>
      </c>
      <c r="B170" s="1">
        <v>9820</v>
      </c>
      <c r="C170" s="1">
        <v>13180</v>
      </c>
      <c r="D170" s="1">
        <v>6605</v>
      </c>
      <c r="E170" s="1">
        <v>845</v>
      </c>
      <c r="F170" s="4">
        <v>2.9090509259259258</v>
      </c>
    </row>
    <row r="171" spans="1:6" x14ac:dyDescent="0.3">
      <c r="A171" s="1">
        <v>16</v>
      </c>
      <c r="B171" s="1">
        <v>10340</v>
      </c>
      <c r="C171" s="1">
        <v>13875</v>
      </c>
      <c r="D171" s="1">
        <v>6955</v>
      </c>
      <c r="E171" s="1">
        <v>890</v>
      </c>
      <c r="F171" s="4">
        <v>3.0631944444444446</v>
      </c>
    </row>
    <row r="172" spans="1:6" x14ac:dyDescent="0.3">
      <c r="A172" s="1">
        <v>17</v>
      </c>
      <c r="B172" s="1">
        <v>10850</v>
      </c>
      <c r="C172" s="1">
        <v>14565</v>
      </c>
      <c r="D172" s="1">
        <v>7300</v>
      </c>
      <c r="E172" s="1">
        <v>930</v>
      </c>
      <c r="F172" s="4">
        <v>3.2154166666666666</v>
      </c>
    </row>
    <row r="173" spans="1:6" x14ac:dyDescent="0.3">
      <c r="A173" s="1">
        <v>18</v>
      </c>
      <c r="B173" s="1">
        <v>11360</v>
      </c>
      <c r="C173" s="1">
        <v>15245</v>
      </c>
      <c r="D173" s="1">
        <v>7640</v>
      </c>
      <c r="E173" s="1">
        <v>975</v>
      </c>
      <c r="F173" s="4">
        <v>3.3658680555555556</v>
      </c>
    </row>
    <row r="174" spans="1:6" x14ac:dyDescent="0.3">
      <c r="A174" s="1">
        <v>19</v>
      </c>
      <c r="B174" s="1">
        <v>11860</v>
      </c>
      <c r="C174" s="1">
        <v>15920</v>
      </c>
      <c r="D174" s="1">
        <v>7980</v>
      </c>
      <c r="E174" s="1">
        <v>1020</v>
      </c>
      <c r="F174" s="4">
        <v>3.5146412037037038</v>
      </c>
    </row>
    <row r="175" spans="1:6" x14ac:dyDescent="0.3">
      <c r="A175" s="1">
        <v>20</v>
      </c>
      <c r="B175" s="1">
        <v>12360</v>
      </c>
      <c r="C175" s="1">
        <v>16590</v>
      </c>
      <c r="D175" s="1">
        <v>8310</v>
      </c>
      <c r="E175" s="1">
        <v>1060</v>
      </c>
      <c r="F175" s="4">
        <v>3.661863425925926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DC470-F820-42A2-9911-76BBF6A87A9E}">
  <dimension ref="A1:F175"/>
  <sheetViews>
    <sheetView workbookViewId="0">
      <selection activeCell="J151" sqref="J151"/>
    </sheetView>
  </sheetViews>
  <sheetFormatPr defaultRowHeight="14.4" x14ac:dyDescent="0.3"/>
  <sheetData>
    <row r="1" spans="1:6" x14ac:dyDescent="0.3">
      <c r="A1" t="s">
        <v>127</v>
      </c>
      <c r="B1" t="s">
        <v>17</v>
      </c>
      <c r="C1" t="s">
        <v>18</v>
      </c>
      <c r="D1" t="s">
        <v>19</v>
      </c>
      <c r="E1" t="s">
        <v>20</v>
      </c>
      <c r="F1" t="s">
        <v>22</v>
      </c>
    </row>
    <row r="2" spans="1:6" x14ac:dyDescent="0.3">
      <c r="A2" s="1">
        <v>1</v>
      </c>
      <c r="B2" s="1">
        <v>415</v>
      </c>
      <c r="C2" s="1">
        <v>520</v>
      </c>
      <c r="D2" s="1">
        <v>410</v>
      </c>
      <c r="E2" s="1">
        <v>265</v>
      </c>
      <c r="F2" s="3">
        <v>3.923611111111111E-2</v>
      </c>
    </row>
    <row r="3" spans="1:6" x14ac:dyDescent="0.3">
      <c r="A3" s="1">
        <v>2</v>
      </c>
      <c r="B3" s="1">
        <v>725</v>
      </c>
      <c r="C3" s="1">
        <v>905</v>
      </c>
      <c r="D3" s="1">
        <v>715</v>
      </c>
      <c r="E3" s="1">
        <v>460</v>
      </c>
      <c r="F3" s="3">
        <v>6.8310185185185182E-2</v>
      </c>
    </row>
    <row r="4" spans="1:6" x14ac:dyDescent="0.3">
      <c r="A4" s="1">
        <v>3</v>
      </c>
      <c r="B4" s="1">
        <v>1000</v>
      </c>
      <c r="C4" s="1">
        <v>1250</v>
      </c>
      <c r="D4" s="1">
        <v>985</v>
      </c>
      <c r="E4" s="1">
        <v>640</v>
      </c>
      <c r="F4" s="3">
        <v>9.4490740740740736E-2</v>
      </c>
    </row>
    <row r="5" spans="1:6" x14ac:dyDescent="0.3">
      <c r="A5" s="1">
        <v>4</v>
      </c>
      <c r="B5" s="1">
        <v>1260</v>
      </c>
      <c r="C5" s="1">
        <v>1575</v>
      </c>
      <c r="D5" s="1">
        <v>1245</v>
      </c>
      <c r="E5" s="1">
        <v>805</v>
      </c>
      <c r="F5" s="3">
        <v>0.11894675925925927</v>
      </c>
    </row>
    <row r="6" spans="1:6" x14ac:dyDescent="0.3">
      <c r="A6" s="1">
        <v>5</v>
      </c>
      <c r="B6" s="1">
        <v>1505</v>
      </c>
      <c r="C6" s="1">
        <v>1885</v>
      </c>
      <c r="D6" s="1">
        <v>1485</v>
      </c>
      <c r="E6" s="1">
        <v>960</v>
      </c>
      <c r="F6" s="3">
        <v>0.14218749999999999</v>
      </c>
    </row>
    <row r="7" spans="1:6" x14ac:dyDescent="0.3">
      <c r="A7" s="1">
        <v>6</v>
      </c>
      <c r="B7" s="1">
        <v>1740</v>
      </c>
      <c r="C7" s="1">
        <v>2180</v>
      </c>
      <c r="D7" s="1">
        <v>1720</v>
      </c>
      <c r="E7" s="1">
        <v>1110</v>
      </c>
      <c r="F7" s="3">
        <v>0.16451388888888888</v>
      </c>
    </row>
    <row r="8" spans="1:6" x14ac:dyDescent="0.3">
      <c r="A8" s="1">
        <v>7</v>
      </c>
      <c r="B8" s="1">
        <v>1970</v>
      </c>
      <c r="C8" s="1">
        <v>2465</v>
      </c>
      <c r="D8" s="1">
        <v>1945</v>
      </c>
      <c r="E8" s="1">
        <v>1255</v>
      </c>
      <c r="F8" s="3">
        <v>0.18611111111111112</v>
      </c>
    </row>
    <row r="9" spans="1:6" x14ac:dyDescent="0.3">
      <c r="A9" s="1">
        <v>8</v>
      </c>
      <c r="B9" s="1">
        <v>2190</v>
      </c>
      <c r="C9" s="1">
        <v>2745</v>
      </c>
      <c r="D9" s="1">
        <v>2165</v>
      </c>
      <c r="E9" s="1">
        <v>1400</v>
      </c>
      <c r="F9" s="3">
        <v>0.20709490740740741</v>
      </c>
    </row>
    <row r="10" spans="1:6" x14ac:dyDescent="0.3">
      <c r="A10" s="1">
        <v>9</v>
      </c>
      <c r="B10" s="1">
        <v>2405</v>
      </c>
      <c r="C10" s="1">
        <v>3015</v>
      </c>
      <c r="D10" s="1">
        <v>2380</v>
      </c>
      <c r="E10" s="1">
        <v>1535</v>
      </c>
      <c r="F10" s="3">
        <v>0.2275462962962963</v>
      </c>
    </row>
    <row r="11" spans="1:6" x14ac:dyDescent="0.3">
      <c r="A11" s="1">
        <v>10</v>
      </c>
      <c r="B11" s="1">
        <v>2620</v>
      </c>
      <c r="C11" s="1">
        <v>3280</v>
      </c>
      <c r="D11" s="1">
        <v>2585</v>
      </c>
      <c r="E11" s="1">
        <v>1670</v>
      </c>
      <c r="F11" s="3">
        <v>0.24755787037037036</v>
      </c>
    </row>
    <row r="12" spans="1:6" x14ac:dyDescent="0.3">
      <c r="A12" s="1">
        <v>11</v>
      </c>
      <c r="B12" s="1">
        <v>2825</v>
      </c>
      <c r="C12" s="1">
        <v>3540</v>
      </c>
      <c r="D12" s="1">
        <v>2790</v>
      </c>
      <c r="E12" s="1">
        <v>1805</v>
      </c>
      <c r="F12" s="3">
        <v>0.26717592592592593</v>
      </c>
    </row>
    <row r="13" spans="1:6" x14ac:dyDescent="0.3">
      <c r="A13" s="1">
        <v>12</v>
      </c>
      <c r="B13" s="1">
        <v>3030</v>
      </c>
      <c r="C13" s="1">
        <v>3795</v>
      </c>
      <c r="D13" s="1">
        <v>2995</v>
      </c>
      <c r="E13" s="1">
        <v>1935</v>
      </c>
      <c r="F13" s="3">
        <v>0.28643518518518518</v>
      </c>
    </row>
    <row r="14" spans="1:6" x14ac:dyDescent="0.3">
      <c r="A14" s="1">
        <v>13</v>
      </c>
      <c r="B14" s="1">
        <v>3230</v>
      </c>
      <c r="C14" s="1">
        <v>4045</v>
      </c>
      <c r="D14" s="1">
        <v>3190</v>
      </c>
      <c r="E14" s="1">
        <v>2065</v>
      </c>
      <c r="F14" s="3">
        <v>0.30538194444444444</v>
      </c>
    </row>
    <row r="15" spans="1:6" x14ac:dyDescent="0.3">
      <c r="A15" s="1">
        <v>14</v>
      </c>
      <c r="B15" s="1">
        <v>3425</v>
      </c>
      <c r="C15" s="1">
        <v>4295</v>
      </c>
      <c r="D15" s="1">
        <v>3385</v>
      </c>
      <c r="E15" s="1">
        <v>2190</v>
      </c>
      <c r="F15" s="3">
        <v>0.3240277777777778</v>
      </c>
    </row>
    <row r="16" spans="1:6" x14ac:dyDescent="0.3">
      <c r="A16" s="1">
        <v>15</v>
      </c>
      <c r="B16" s="1">
        <v>3620</v>
      </c>
      <c r="C16" s="1">
        <v>4540</v>
      </c>
      <c r="D16" s="1">
        <v>3580</v>
      </c>
      <c r="E16" s="1">
        <v>2315</v>
      </c>
      <c r="F16" s="3">
        <v>0.34241898148148148</v>
      </c>
    </row>
    <row r="17" spans="1:6" x14ac:dyDescent="0.3">
      <c r="A17" s="1">
        <v>16</v>
      </c>
      <c r="B17" s="1">
        <v>3815</v>
      </c>
      <c r="C17" s="1">
        <v>4780</v>
      </c>
      <c r="D17" s="1">
        <v>3770</v>
      </c>
      <c r="E17" s="1">
        <v>2435</v>
      </c>
      <c r="F17" s="3">
        <v>0.36056712962962961</v>
      </c>
    </row>
    <row r="18" spans="1:6" x14ac:dyDescent="0.3">
      <c r="A18" s="1">
        <v>17</v>
      </c>
      <c r="B18" s="1">
        <v>4005</v>
      </c>
      <c r="C18" s="1">
        <v>5015</v>
      </c>
      <c r="D18" s="1">
        <v>3955</v>
      </c>
      <c r="E18" s="1">
        <v>2555</v>
      </c>
      <c r="F18" s="3">
        <v>0.3784837962962963</v>
      </c>
    </row>
    <row r="19" spans="1:6" x14ac:dyDescent="0.3">
      <c r="A19" s="1">
        <v>18</v>
      </c>
      <c r="B19" s="1">
        <v>4190</v>
      </c>
      <c r="C19" s="1">
        <v>5250</v>
      </c>
      <c r="D19" s="1">
        <v>4140</v>
      </c>
      <c r="E19" s="1">
        <v>2675</v>
      </c>
      <c r="F19" s="3">
        <v>0.39619212962962963</v>
      </c>
    </row>
    <row r="20" spans="1:6" x14ac:dyDescent="0.3">
      <c r="A20" s="1">
        <v>19</v>
      </c>
      <c r="B20" s="1">
        <v>4375</v>
      </c>
      <c r="C20" s="1">
        <v>5485</v>
      </c>
      <c r="D20" s="1">
        <v>4325</v>
      </c>
      <c r="E20" s="1">
        <v>2795</v>
      </c>
      <c r="F20" s="3">
        <v>0.41370370370370368</v>
      </c>
    </row>
    <row r="21" spans="1:6" x14ac:dyDescent="0.3">
      <c r="A21" s="1">
        <v>20</v>
      </c>
      <c r="B21" s="1">
        <v>4560</v>
      </c>
      <c r="C21" s="1">
        <v>5715</v>
      </c>
      <c r="D21" s="1">
        <v>4505</v>
      </c>
      <c r="E21" s="1">
        <v>2910</v>
      </c>
      <c r="F21" s="3">
        <v>0.43103009259259262</v>
      </c>
    </row>
    <row r="23" spans="1:6" x14ac:dyDescent="0.3">
      <c r="A23" t="s">
        <v>128</v>
      </c>
      <c r="B23" t="s">
        <v>17</v>
      </c>
      <c r="C23" t="s">
        <v>18</v>
      </c>
      <c r="D23" t="s">
        <v>19</v>
      </c>
      <c r="E23" t="s">
        <v>20</v>
      </c>
      <c r="F23" t="s">
        <v>22</v>
      </c>
    </row>
    <row r="24" spans="1:6" x14ac:dyDescent="0.3">
      <c r="A24" s="1">
        <v>1</v>
      </c>
      <c r="B24" s="1">
        <v>905</v>
      </c>
      <c r="C24" s="1">
        <v>800</v>
      </c>
      <c r="D24" s="1">
        <v>1215</v>
      </c>
      <c r="E24" s="1">
        <v>580</v>
      </c>
      <c r="F24" s="3">
        <v>6.8750000000000006E-2</v>
      </c>
    </row>
    <row r="25" spans="1:6" x14ac:dyDescent="0.3">
      <c r="A25" s="1">
        <v>2</v>
      </c>
      <c r="B25" s="1">
        <v>1575</v>
      </c>
      <c r="C25" s="1">
        <v>1395</v>
      </c>
      <c r="D25" s="1">
        <v>2115</v>
      </c>
      <c r="E25" s="1">
        <v>1010</v>
      </c>
      <c r="F25" s="3">
        <v>0.11969907407407407</v>
      </c>
    </row>
    <row r="26" spans="1:6" x14ac:dyDescent="0.3">
      <c r="A26" s="1">
        <v>3</v>
      </c>
      <c r="B26" s="1">
        <v>2180</v>
      </c>
      <c r="C26" s="1">
        <v>1925</v>
      </c>
      <c r="D26" s="1">
        <v>2925</v>
      </c>
      <c r="E26" s="1">
        <v>1395</v>
      </c>
      <c r="F26" s="3">
        <v>0.16556712962962963</v>
      </c>
    </row>
    <row r="27" spans="1:6" x14ac:dyDescent="0.3">
      <c r="A27" s="1">
        <v>4</v>
      </c>
      <c r="B27" s="1">
        <v>2745</v>
      </c>
      <c r="C27" s="1">
        <v>2425</v>
      </c>
      <c r="D27" s="1">
        <v>3685</v>
      </c>
      <c r="E27" s="1">
        <v>1760</v>
      </c>
      <c r="F27" s="3">
        <v>0.20841435185185186</v>
      </c>
    </row>
    <row r="28" spans="1:6" x14ac:dyDescent="0.3">
      <c r="A28" s="1">
        <v>5</v>
      </c>
      <c r="B28" s="1">
        <v>3280</v>
      </c>
      <c r="C28" s="1">
        <v>2900</v>
      </c>
      <c r="D28" s="1">
        <v>4405</v>
      </c>
      <c r="E28" s="1">
        <v>2100</v>
      </c>
      <c r="F28" s="3">
        <v>0.24914351851851851</v>
      </c>
    </row>
    <row r="29" spans="1:6" x14ac:dyDescent="0.3">
      <c r="A29" s="1">
        <v>6</v>
      </c>
      <c r="B29" s="1">
        <v>3795</v>
      </c>
      <c r="C29" s="1">
        <v>3355</v>
      </c>
      <c r="D29" s="1">
        <v>5095</v>
      </c>
      <c r="E29" s="1">
        <v>2430</v>
      </c>
      <c r="F29" s="3">
        <v>0.28826388888888888</v>
      </c>
    </row>
    <row r="30" spans="1:6" x14ac:dyDescent="0.3">
      <c r="A30" s="1">
        <v>7</v>
      </c>
      <c r="B30" s="1">
        <v>4295</v>
      </c>
      <c r="C30" s="1">
        <v>3795</v>
      </c>
      <c r="D30" s="1">
        <v>5765</v>
      </c>
      <c r="E30" s="1">
        <v>2750</v>
      </c>
      <c r="F30" s="3">
        <v>0.32609953703703703</v>
      </c>
    </row>
    <row r="31" spans="1:6" x14ac:dyDescent="0.3">
      <c r="A31" s="1">
        <v>8</v>
      </c>
      <c r="B31" s="1">
        <v>4775</v>
      </c>
      <c r="C31" s="1">
        <v>4220</v>
      </c>
      <c r="D31" s="1">
        <v>6415</v>
      </c>
      <c r="E31" s="1">
        <v>3060</v>
      </c>
      <c r="F31" s="3">
        <v>0.36287037037037034</v>
      </c>
    </row>
    <row r="32" spans="1:6" x14ac:dyDescent="0.3">
      <c r="A32" s="1">
        <v>9</v>
      </c>
      <c r="B32" s="1">
        <v>5250</v>
      </c>
      <c r="C32" s="1">
        <v>4640</v>
      </c>
      <c r="D32" s="1">
        <v>7045</v>
      </c>
      <c r="E32" s="1">
        <v>3365</v>
      </c>
      <c r="F32" s="3">
        <v>0.39871527777777777</v>
      </c>
    </row>
    <row r="33" spans="1:6" x14ac:dyDescent="0.3">
      <c r="A33" s="1">
        <v>10</v>
      </c>
      <c r="B33" s="1">
        <v>5710</v>
      </c>
      <c r="C33" s="1">
        <v>5050</v>
      </c>
      <c r="D33" s="1">
        <v>7665</v>
      </c>
      <c r="E33" s="1">
        <v>3660</v>
      </c>
      <c r="F33" s="3">
        <v>0.4337847222222222</v>
      </c>
    </row>
    <row r="34" spans="1:6" x14ac:dyDescent="0.3">
      <c r="A34" s="1">
        <v>11</v>
      </c>
      <c r="B34" s="1">
        <v>6165</v>
      </c>
      <c r="C34" s="1">
        <v>5450</v>
      </c>
      <c r="D34" s="1">
        <v>8275</v>
      </c>
      <c r="E34" s="1">
        <v>3950</v>
      </c>
      <c r="F34" s="3">
        <v>0.46814814814814815</v>
      </c>
    </row>
    <row r="35" spans="1:6" x14ac:dyDescent="0.3">
      <c r="A35" s="1">
        <v>12</v>
      </c>
      <c r="B35" s="1">
        <v>6605</v>
      </c>
      <c r="C35" s="1">
        <v>5840</v>
      </c>
      <c r="D35" s="1">
        <v>8870</v>
      </c>
      <c r="E35" s="1">
        <v>4235</v>
      </c>
      <c r="F35" s="3">
        <v>0.50189814814814815</v>
      </c>
    </row>
    <row r="36" spans="1:6" x14ac:dyDescent="0.3">
      <c r="A36" s="1">
        <v>13</v>
      </c>
      <c r="B36" s="1">
        <v>7045</v>
      </c>
      <c r="C36" s="1">
        <v>6225</v>
      </c>
      <c r="D36" s="1">
        <v>9455</v>
      </c>
      <c r="E36" s="1">
        <v>4515</v>
      </c>
      <c r="F36" s="3">
        <v>0.53509259259259256</v>
      </c>
    </row>
    <row r="37" spans="1:6" x14ac:dyDescent="0.3">
      <c r="A37" s="1">
        <v>14</v>
      </c>
      <c r="B37" s="1">
        <v>7475</v>
      </c>
      <c r="C37" s="1">
        <v>6605</v>
      </c>
      <c r="D37" s="1">
        <v>10035</v>
      </c>
      <c r="E37" s="1">
        <v>4790</v>
      </c>
      <c r="F37" s="3">
        <v>0.56777777777777783</v>
      </c>
    </row>
    <row r="38" spans="1:6" x14ac:dyDescent="0.3">
      <c r="A38" s="1">
        <v>15</v>
      </c>
      <c r="B38" s="1">
        <v>7900</v>
      </c>
      <c r="C38" s="1">
        <v>6980</v>
      </c>
      <c r="D38" s="1">
        <v>10605</v>
      </c>
      <c r="E38" s="1">
        <v>5060</v>
      </c>
      <c r="F38" s="3">
        <v>0.59998842592592594</v>
      </c>
    </row>
    <row r="39" spans="1:6" x14ac:dyDescent="0.3">
      <c r="A39" s="1">
        <v>16</v>
      </c>
      <c r="B39" s="1">
        <v>8315</v>
      </c>
      <c r="C39" s="1">
        <v>7350</v>
      </c>
      <c r="D39" s="1">
        <v>11165</v>
      </c>
      <c r="E39" s="1">
        <v>5330</v>
      </c>
      <c r="F39" s="3">
        <v>0.63178240740740743</v>
      </c>
    </row>
    <row r="40" spans="1:6" x14ac:dyDescent="0.3">
      <c r="A40" s="1">
        <v>17</v>
      </c>
      <c r="B40" s="1">
        <v>8730</v>
      </c>
      <c r="C40" s="1">
        <v>7715</v>
      </c>
      <c r="D40" s="1">
        <v>11720</v>
      </c>
      <c r="E40" s="1">
        <v>5595</v>
      </c>
      <c r="F40" s="3">
        <v>0.66318287037037038</v>
      </c>
    </row>
    <row r="41" spans="1:6" x14ac:dyDescent="0.3">
      <c r="A41" s="1">
        <v>18</v>
      </c>
      <c r="B41" s="1">
        <v>9140</v>
      </c>
      <c r="C41" s="1">
        <v>8080</v>
      </c>
      <c r="D41" s="1">
        <v>12270</v>
      </c>
      <c r="E41" s="1">
        <v>5855</v>
      </c>
      <c r="F41" s="3">
        <v>0.69421296296296298</v>
      </c>
    </row>
    <row r="42" spans="1:6" x14ac:dyDescent="0.3">
      <c r="A42" s="1">
        <v>19</v>
      </c>
      <c r="B42" s="1">
        <v>9540</v>
      </c>
      <c r="C42" s="1">
        <v>8435</v>
      </c>
      <c r="D42" s="1">
        <v>12810</v>
      </c>
      <c r="E42" s="1">
        <v>6115</v>
      </c>
      <c r="F42" s="3">
        <v>0.72489583333333329</v>
      </c>
    </row>
    <row r="43" spans="1:6" x14ac:dyDescent="0.3">
      <c r="A43" s="1">
        <v>20</v>
      </c>
      <c r="B43" s="1">
        <v>9940</v>
      </c>
      <c r="C43" s="1">
        <v>8790</v>
      </c>
      <c r="D43" s="1">
        <v>13350</v>
      </c>
      <c r="E43" s="1">
        <v>6370</v>
      </c>
      <c r="F43" s="3">
        <v>0.75525462962962964</v>
      </c>
    </row>
    <row r="45" spans="1:6" x14ac:dyDescent="0.3">
      <c r="A45" t="s">
        <v>134</v>
      </c>
      <c r="B45" t="s">
        <v>17</v>
      </c>
      <c r="C45" t="s">
        <v>18</v>
      </c>
      <c r="D45" t="s">
        <v>19</v>
      </c>
      <c r="E45" t="s">
        <v>20</v>
      </c>
      <c r="F45" t="s">
        <v>22</v>
      </c>
    </row>
    <row r="46" spans="1:6" x14ac:dyDescent="0.3">
      <c r="A46" s="1">
        <v>1</v>
      </c>
      <c r="B46" s="1">
        <v>1290</v>
      </c>
      <c r="C46" s="1">
        <v>1360</v>
      </c>
      <c r="D46" s="1">
        <v>1740</v>
      </c>
      <c r="E46" s="1">
        <v>720</v>
      </c>
      <c r="F46" s="3">
        <v>7.0833333333333331E-2</v>
      </c>
    </row>
    <row r="47" spans="1:6" x14ac:dyDescent="0.3">
      <c r="A47" s="1">
        <v>2</v>
      </c>
      <c r="B47" s="1">
        <v>2245</v>
      </c>
      <c r="C47" s="1">
        <v>2370</v>
      </c>
      <c r="D47" s="1">
        <v>3030</v>
      </c>
      <c r="E47" s="1">
        <v>1255</v>
      </c>
      <c r="F47" s="3">
        <v>0.12333333333333334</v>
      </c>
    </row>
    <row r="48" spans="1:6" x14ac:dyDescent="0.3">
      <c r="A48" s="1">
        <v>3</v>
      </c>
      <c r="B48" s="1">
        <v>3105</v>
      </c>
      <c r="C48" s="1">
        <v>3275</v>
      </c>
      <c r="D48" s="1">
        <v>4190</v>
      </c>
      <c r="E48" s="1">
        <v>1735</v>
      </c>
      <c r="F48" s="3">
        <v>0.1705787037037037</v>
      </c>
    </row>
    <row r="49" spans="1:6" x14ac:dyDescent="0.3">
      <c r="A49" s="1">
        <v>4</v>
      </c>
      <c r="B49" s="1">
        <v>3910</v>
      </c>
      <c r="C49" s="1">
        <v>4125</v>
      </c>
      <c r="D49" s="1">
        <v>5275</v>
      </c>
      <c r="E49" s="1">
        <v>2185</v>
      </c>
      <c r="F49" s="3">
        <v>0.21472222222222223</v>
      </c>
    </row>
    <row r="50" spans="1:6" x14ac:dyDescent="0.3">
      <c r="A50" s="1">
        <v>5</v>
      </c>
      <c r="B50" s="1">
        <v>4675</v>
      </c>
      <c r="C50" s="1">
        <v>4930</v>
      </c>
      <c r="D50" s="1">
        <v>6305</v>
      </c>
      <c r="E50" s="1">
        <v>2610</v>
      </c>
      <c r="F50" s="3">
        <v>0.25668981481481479</v>
      </c>
    </row>
    <row r="51" spans="1:6" x14ac:dyDescent="0.3">
      <c r="A51" s="1">
        <v>6</v>
      </c>
      <c r="B51" s="1">
        <v>5410</v>
      </c>
      <c r="C51" s="1">
        <v>5700</v>
      </c>
      <c r="D51" s="1">
        <v>7295</v>
      </c>
      <c r="E51" s="1">
        <v>3020</v>
      </c>
      <c r="F51" s="3">
        <v>0.29700231481481482</v>
      </c>
    </row>
    <row r="52" spans="1:6" x14ac:dyDescent="0.3">
      <c r="A52" s="1">
        <v>7</v>
      </c>
      <c r="B52" s="1">
        <v>6120</v>
      </c>
      <c r="C52" s="1">
        <v>6450</v>
      </c>
      <c r="D52" s="1">
        <v>8255</v>
      </c>
      <c r="E52" s="1">
        <v>3415</v>
      </c>
      <c r="F52" s="3">
        <v>0.33598379629629632</v>
      </c>
    </row>
    <row r="53" spans="1:6" x14ac:dyDescent="0.3">
      <c r="A53" s="1">
        <v>8</v>
      </c>
      <c r="B53" s="1">
        <v>6810</v>
      </c>
      <c r="C53" s="1">
        <v>7180</v>
      </c>
      <c r="D53" s="1">
        <v>9185</v>
      </c>
      <c r="E53" s="1">
        <v>3800</v>
      </c>
      <c r="F53" s="3">
        <v>0.37386574074074075</v>
      </c>
    </row>
    <row r="54" spans="1:6" x14ac:dyDescent="0.3">
      <c r="A54" s="1">
        <v>9</v>
      </c>
      <c r="B54" s="1">
        <v>7480</v>
      </c>
      <c r="C54" s="1">
        <v>7885</v>
      </c>
      <c r="D54" s="1">
        <v>10090</v>
      </c>
      <c r="E54" s="1">
        <v>4175</v>
      </c>
      <c r="F54" s="3">
        <v>0.4107986111111111</v>
      </c>
    </row>
    <row r="55" spans="1:6" x14ac:dyDescent="0.3">
      <c r="A55" s="1">
        <v>10</v>
      </c>
      <c r="B55" s="1">
        <v>8140</v>
      </c>
      <c r="C55" s="1">
        <v>8580</v>
      </c>
      <c r="D55" s="1">
        <v>10980</v>
      </c>
      <c r="E55" s="1">
        <v>4545</v>
      </c>
      <c r="F55" s="3">
        <v>0.44693287037037038</v>
      </c>
    </row>
    <row r="56" spans="1:6" x14ac:dyDescent="0.3">
      <c r="A56" s="1">
        <v>11</v>
      </c>
      <c r="B56" s="1">
        <v>8785</v>
      </c>
      <c r="C56" s="1">
        <v>9260</v>
      </c>
      <c r="D56" s="1">
        <v>11850</v>
      </c>
      <c r="E56" s="1">
        <v>4905</v>
      </c>
      <c r="F56" s="3">
        <v>0.48233796296296294</v>
      </c>
    </row>
    <row r="57" spans="1:6" x14ac:dyDescent="0.3">
      <c r="A57" s="1">
        <v>12</v>
      </c>
      <c r="B57" s="1">
        <v>9415</v>
      </c>
      <c r="C57" s="1">
        <v>9930</v>
      </c>
      <c r="D57" s="1">
        <v>12705</v>
      </c>
      <c r="E57" s="1">
        <v>5255</v>
      </c>
      <c r="F57" s="3">
        <v>0.51710648148148153</v>
      </c>
    </row>
    <row r="58" spans="1:6" x14ac:dyDescent="0.3">
      <c r="A58" s="1">
        <v>13</v>
      </c>
      <c r="B58" s="1">
        <v>10040</v>
      </c>
      <c r="C58" s="1">
        <v>10585</v>
      </c>
      <c r="D58" s="1">
        <v>13545</v>
      </c>
      <c r="E58" s="1">
        <v>5605</v>
      </c>
      <c r="F58" s="3">
        <v>0.55130787037037032</v>
      </c>
    </row>
    <row r="59" spans="1:6" x14ac:dyDescent="0.3">
      <c r="A59" s="1">
        <v>14</v>
      </c>
      <c r="B59" s="1">
        <v>10655</v>
      </c>
      <c r="C59" s="1">
        <v>11230</v>
      </c>
      <c r="D59" s="1">
        <v>14370</v>
      </c>
      <c r="E59" s="1">
        <v>5945</v>
      </c>
      <c r="F59" s="3">
        <v>0.58497685185185189</v>
      </c>
    </row>
    <row r="60" spans="1:6" x14ac:dyDescent="0.3">
      <c r="A60" s="1">
        <v>15</v>
      </c>
      <c r="B60" s="1">
        <v>11260</v>
      </c>
      <c r="C60" s="1">
        <v>11870</v>
      </c>
      <c r="D60" s="1">
        <v>15185</v>
      </c>
      <c r="E60" s="1">
        <v>6285</v>
      </c>
      <c r="F60" s="3">
        <v>0.6181712962962963</v>
      </c>
    </row>
    <row r="61" spans="1:6" x14ac:dyDescent="0.3">
      <c r="A61" s="1">
        <v>16</v>
      </c>
      <c r="B61" s="1">
        <v>11855</v>
      </c>
      <c r="C61" s="1">
        <v>12500</v>
      </c>
      <c r="D61" s="1">
        <v>15990</v>
      </c>
      <c r="E61" s="1">
        <v>6615</v>
      </c>
      <c r="F61" s="3">
        <v>0.65092592592592591</v>
      </c>
    </row>
    <row r="62" spans="1:6" x14ac:dyDescent="0.3">
      <c r="A62" s="1">
        <v>17</v>
      </c>
      <c r="B62" s="1">
        <v>12445</v>
      </c>
      <c r="C62" s="1">
        <v>13120</v>
      </c>
      <c r="D62" s="1">
        <v>16785</v>
      </c>
      <c r="E62" s="1">
        <v>6945</v>
      </c>
      <c r="F62" s="3">
        <v>0.68327546296296293</v>
      </c>
    </row>
    <row r="63" spans="1:6" x14ac:dyDescent="0.3">
      <c r="A63" s="1">
        <v>18</v>
      </c>
      <c r="B63" s="1">
        <v>13025</v>
      </c>
      <c r="C63" s="1">
        <v>13735</v>
      </c>
      <c r="D63" s="1">
        <v>17570</v>
      </c>
      <c r="E63" s="1">
        <v>7270</v>
      </c>
      <c r="F63" s="3">
        <v>0.71524305555555556</v>
      </c>
    </row>
    <row r="64" spans="1:6" x14ac:dyDescent="0.3">
      <c r="A64" s="1">
        <v>19</v>
      </c>
      <c r="B64" s="1">
        <v>13600</v>
      </c>
      <c r="C64" s="1">
        <v>14340</v>
      </c>
      <c r="D64" s="1">
        <v>18345</v>
      </c>
      <c r="E64" s="1">
        <v>7590</v>
      </c>
      <c r="F64" s="3">
        <v>0.74686342592592592</v>
      </c>
    </row>
    <row r="65" spans="1:6" x14ac:dyDescent="0.3">
      <c r="A65" s="1">
        <v>20</v>
      </c>
      <c r="B65" s="1">
        <v>14170</v>
      </c>
      <c r="C65" s="1">
        <v>14940</v>
      </c>
      <c r="D65" s="1">
        <v>19115</v>
      </c>
      <c r="E65" s="1">
        <v>7910</v>
      </c>
      <c r="F65" s="3">
        <v>0.77814814814814814</v>
      </c>
    </row>
    <row r="67" spans="1:6" x14ac:dyDescent="0.3">
      <c r="A67" t="s">
        <v>133</v>
      </c>
      <c r="B67" t="s">
        <v>17</v>
      </c>
      <c r="C67" t="s">
        <v>18</v>
      </c>
      <c r="D67" t="s">
        <v>19</v>
      </c>
      <c r="E67" t="s">
        <v>20</v>
      </c>
      <c r="F67" t="s">
        <v>22</v>
      </c>
    </row>
    <row r="68" spans="1:6" x14ac:dyDescent="0.3">
      <c r="A68" s="1">
        <v>1</v>
      </c>
      <c r="B68" s="1">
        <v>645</v>
      </c>
      <c r="C68" s="1">
        <v>575</v>
      </c>
      <c r="D68" s="1">
        <v>170</v>
      </c>
      <c r="E68" s="1">
        <v>220</v>
      </c>
      <c r="F68" s="3">
        <v>6.805555555555555E-2</v>
      </c>
    </row>
    <row r="69" spans="1:6" x14ac:dyDescent="0.3">
      <c r="A69" s="1">
        <v>2</v>
      </c>
      <c r="B69" s="1">
        <v>1125</v>
      </c>
      <c r="C69" s="1">
        <v>1000</v>
      </c>
      <c r="D69" s="1">
        <v>295</v>
      </c>
      <c r="E69" s="1">
        <v>385</v>
      </c>
      <c r="F69" s="3">
        <v>0.11849537037037038</v>
      </c>
    </row>
    <row r="70" spans="1:6" x14ac:dyDescent="0.3">
      <c r="A70" s="1">
        <v>3</v>
      </c>
      <c r="B70" s="1">
        <v>1555</v>
      </c>
      <c r="C70" s="1">
        <v>1385</v>
      </c>
      <c r="D70" s="1">
        <v>410</v>
      </c>
      <c r="E70" s="1">
        <v>530</v>
      </c>
      <c r="F70" s="3">
        <v>0.16388888888888889</v>
      </c>
    </row>
    <row r="71" spans="1:6" x14ac:dyDescent="0.3">
      <c r="A71" s="1">
        <v>4</v>
      </c>
      <c r="B71" s="1">
        <v>1955</v>
      </c>
      <c r="C71" s="1">
        <v>1745</v>
      </c>
      <c r="D71" s="1">
        <v>515</v>
      </c>
      <c r="E71" s="1">
        <v>665</v>
      </c>
      <c r="F71" s="3">
        <v>0.20630787037037038</v>
      </c>
    </row>
    <row r="72" spans="1:6" x14ac:dyDescent="0.3">
      <c r="A72" s="1">
        <v>5</v>
      </c>
      <c r="B72" s="1">
        <v>2335</v>
      </c>
      <c r="C72" s="1">
        <v>2085</v>
      </c>
      <c r="D72" s="1">
        <v>615</v>
      </c>
      <c r="E72" s="1">
        <v>795</v>
      </c>
      <c r="F72" s="3">
        <v>0.24663194444444445</v>
      </c>
    </row>
    <row r="73" spans="1:6" x14ac:dyDescent="0.3">
      <c r="A73" s="1">
        <v>6</v>
      </c>
      <c r="B73" s="1">
        <v>2705</v>
      </c>
      <c r="C73" s="1">
        <v>2410</v>
      </c>
      <c r="D73" s="1">
        <v>715</v>
      </c>
      <c r="E73" s="1">
        <v>920</v>
      </c>
      <c r="F73" s="3">
        <v>0.28535879629629629</v>
      </c>
    </row>
    <row r="74" spans="1:6" x14ac:dyDescent="0.3">
      <c r="A74" s="1">
        <v>7</v>
      </c>
      <c r="B74" s="1">
        <v>3060</v>
      </c>
      <c r="C74" s="1">
        <v>2725</v>
      </c>
      <c r="D74" s="1">
        <v>805</v>
      </c>
      <c r="E74" s="1">
        <v>1045</v>
      </c>
      <c r="F74" s="3">
        <v>0.32280092592592591</v>
      </c>
    </row>
    <row r="75" spans="1:6" x14ac:dyDescent="0.3">
      <c r="A75" s="1">
        <v>8</v>
      </c>
      <c r="B75" s="1">
        <v>3405</v>
      </c>
      <c r="C75" s="1">
        <v>3035</v>
      </c>
      <c r="D75" s="1">
        <v>895</v>
      </c>
      <c r="E75" s="1">
        <v>1160</v>
      </c>
      <c r="F75" s="3">
        <v>0.35920138888888886</v>
      </c>
    </row>
    <row r="76" spans="1:6" x14ac:dyDescent="0.3">
      <c r="A76" s="1">
        <v>9</v>
      </c>
      <c r="B76" s="1">
        <v>3740</v>
      </c>
      <c r="C76" s="1">
        <v>3335</v>
      </c>
      <c r="D76" s="1">
        <v>985</v>
      </c>
      <c r="E76" s="1">
        <v>1275</v>
      </c>
      <c r="F76" s="3">
        <v>0.39468750000000002</v>
      </c>
    </row>
    <row r="77" spans="1:6" x14ac:dyDescent="0.3">
      <c r="A77" s="1">
        <v>10</v>
      </c>
      <c r="B77" s="1">
        <v>4070</v>
      </c>
      <c r="C77" s="1">
        <v>3630</v>
      </c>
      <c r="D77" s="1">
        <v>1075</v>
      </c>
      <c r="E77" s="1">
        <v>1390</v>
      </c>
      <c r="F77" s="3">
        <v>0.42939814814814814</v>
      </c>
    </row>
    <row r="78" spans="1:6" x14ac:dyDescent="0.3">
      <c r="A78" s="1">
        <v>11</v>
      </c>
      <c r="B78" s="1">
        <v>4390</v>
      </c>
      <c r="C78" s="1">
        <v>3915</v>
      </c>
      <c r="D78" s="1">
        <v>1160</v>
      </c>
      <c r="E78" s="1">
        <v>1500</v>
      </c>
      <c r="F78" s="3">
        <v>0.46342592592592591</v>
      </c>
    </row>
    <row r="79" spans="1:6" x14ac:dyDescent="0.3">
      <c r="A79" s="1">
        <v>12</v>
      </c>
      <c r="B79" s="1">
        <v>4710</v>
      </c>
      <c r="C79" s="1">
        <v>4200</v>
      </c>
      <c r="D79" s="1">
        <v>1240</v>
      </c>
      <c r="E79" s="1">
        <v>1605</v>
      </c>
      <c r="F79" s="3">
        <v>0.49682870370370369</v>
      </c>
    </row>
    <row r="80" spans="1:6" x14ac:dyDescent="0.3">
      <c r="A80" s="1">
        <v>13</v>
      </c>
      <c r="B80" s="1">
        <v>5020</v>
      </c>
      <c r="C80" s="1">
        <v>4475</v>
      </c>
      <c r="D80" s="1">
        <v>1325</v>
      </c>
      <c r="E80" s="1">
        <v>1710</v>
      </c>
      <c r="F80" s="3">
        <v>0.52968749999999998</v>
      </c>
    </row>
    <row r="81" spans="1:6" x14ac:dyDescent="0.3">
      <c r="A81" s="1">
        <v>14</v>
      </c>
      <c r="B81" s="1">
        <v>5325</v>
      </c>
      <c r="C81" s="1">
        <v>4750</v>
      </c>
      <c r="D81" s="1">
        <v>1405</v>
      </c>
      <c r="E81" s="1">
        <v>1815</v>
      </c>
      <c r="F81" s="3">
        <v>0.562037037037037</v>
      </c>
    </row>
    <row r="82" spans="1:6" x14ac:dyDescent="0.3">
      <c r="A82" s="1">
        <v>15</v>
      </c>
      <c r="B82" s="1">
        <v>5630</v>
      </c>
      <c r="C82" s="1">
        <v>5020</v>
      </c>
      <c r="D82" s="1">
        <v>1485</v>
      </c>
      <c r="E82" s="1">
        <v>1920</v>
      </c>
      <c r="F82" s="3">
        <v>0.59393518518518518</v>
      </c>
    </row>
    <row r="83" spans="1:6" x14ac:dyDescent="0.3">
      <c r="A83" s="1">
        <v>16</v>
      </c>
      <c r="B83" s="1">
        <v>5925</v>
      </c>
      <c r="C83" s="1">
        <v>5285</v>
      </c>
      <c r="D83" s="1">
        <v>1560</v>
      </c>
      <c r="E83" s="1">
        <v>2020</v>
      </c>
      <c r="F83" s="3">
        <v>0.62540509259259258</v>
      </c>
    </row>
    <row r="84" spans="1:6" x14ac:dyDescent="0.3">
      <c r="A84" s="1">
        <v>17</v>
      </c>
      <c r="B84" s="1">
        <v>6220</v>
      </c>
      <c r="C84" s="1">
        <v>5545</v>
      </c>
      <c r="D84" s="1">
        <v>1640</v>
      </c>
      <c r="E84" s="1">
        <v>2120</v>
      </c>
      <c r="F84" s="3">
        <v>0.65648148148148144</v>
      </c>
    </row>
    <row r="85" spans="1:6" x14ac:dyDescent="0.3">
      <c r="A85" s="1">
        <v>18</v>
      </c>
      <c r="B85" s="1">
        <v>6515</v>
      </c>
      <c r="C85" s="1">
        <v>5805</v>
      </c>
      <c r="D85" s="1">
        <v>1715</v>
      </c>
      <c r="E85" s="1">
        <v>2220</v>
      </c>
      <c r="F85" s="3">
        <v>0.6871990740740741</v>
      </c>
    </row>
    <row r="86" spans="1:6" x14ac:dyDescent="0.3">
      <c r="A86" s="1">
        <v>19</v>
      </c>
      <c r="B86" s="1">
        <v>6800</v>
      </c>
      <c r="C86" s="1">
        <v>6065</v>
      </c>
      <c r="D86" s="1">
        <v>1790</v>
      </c>
      <c r="E86" s="1">
        <v>2320</v>
      </c>
      <c r="F86" s="3">
        <v>0.71756944444444448</v>
      </c>
    </row>
    <row r="87" spans="1:6" x14ac:dyDescent="0.3">
      <c r="A87" s="1">
        <v>20</v>
      </c>
      <c r="B87" s="1">
        <v>7085</v>
      </c>
      <c r="C87" s="1">
        <v>6315</v>
      </c>
      <c r="D87" s="1">
        <v>1870</v>
      </c>
      <c r="E87" s="1">
        <v>2415</v>
      </c>
      <c r="F87" s="3">
        <v>0.74762731481481481</v>
      </c>
    </row>
    <row r="89" spans="1:6" x14ac:dyDescent="0.3">
      <c r="A89" t="s">
        <v>132</v>
      </c>
      <c r="B89" t="s">
        <v>17</v>
      </c>
      <c r="C89" t="s">
        <v>18</v>
      </c>
      <c r="D89" t="s">
        <v>19</v>
      </c>
      <c r="E89" t="s">
        <v>20</v>
      </c>
      <c r="F89" t="s">
        <v>22</v>
      </c>
    </row>
    <row r="90" spans="1:6" x14ac:dyDescent="0.3">
      <c r="A90" s="1">
        <v>1</v>
      </c>
      <c r="B90" s="1">
        <v>1310</v>
      </c>
      <c r="C90" s="1">
        <v>1205</v>
      </c>
      <c r="D90" s="1">
        <v>1080</v>
      </c>
      <c r="E90" s="1">
        <v>500</v>
      </c>
      <c r="F90" s="3">
        <v>0.10972222222222222</v>
      </c>
    </row>
    <row r="91" spans="1:6" x14ac:dyDescent="0.3">
      <c r="A91" s="1">
        <v>2</v>
      </c>
      <c r="B91" s="1">
        <v>2280</v>
      </c>
      <c r="C91" s="1">
        <v>2100</v>
      </c>
      <c r="D91" s="1">
        <v>1880</v>
      </c>
      <c r="E91" s="1">
        <v>870</v>
      </c>
      <c r="F91" s="3">
        <v>0.19104166666666667</v>
      </c>
    </row>
    <row r="92" spans="1:6" x14ac:dyDescent="0.3">
      <c r="A92" s="1">
        <v>3</v>
      </c>
      <c r="B92" s="1">
        <v>3155</v>
      </c>
      <c r="C92" s="1">
        <v>2900</v>
      </c>
      <c r="D92" s="1">
        <v>2600</v>
      </c>
      <c r="E92" s="1">
        <v>1205</v>
      </c>
      <c r="F92" s="3">
        <v>0.26423611111111112</v>
      </c>
    </row>
    <row r="93" spans="1:6" x14ac:dyDescent="0.3">
      <c r="A93" s="1">
        <v>4</v>
      </c>
      <c r="B93" s="1">
        <v>3970</v>
      </c>
      <c r="C93" s="1">
        <v>3655</v>
      </c>
      <c r="D93" s="1">
        <v>3275</v>
      </c>
      <c r="E93" s="1">
        <v>1515</v>
      </c>
      <c r="F93" s="3">
        <v>0.33261574074074074</v>
      </c>
    </row>
    <row r="94" spans="1:6" x14ac:dyDescent="0.3">
      <c r="A94" s="1">
        <v>5</v>
      </c>
      <c r="B94" s="1">
        <v>4745</v>
      </c>
      <c r="C94" s="1">
        <v>4365</v>
      </c>
      <c r="D94" s="1">
        <v>3915</v>
      </c>
      <c r="E94" s="1">
        <v>1810</v>
      </c>
      <c r="F94" s="3">
        <v>0.39762731481481484</v>
      </c>
    </row>
    <row r="95" spans="1:6" x14ac:dyDescent="0.3">
      <c r="A95" s="1">
        <v>6</v>
      </c>
      <c r="B95" s="1">
        <v>5495</v>
      </c>
      <c r="C95" s="1">
        <v>5055</v>
      </c>
      <c r="D95" s="1">
        <v>4530</v>
      </c>
      <c r="E95" s="1">
        <v>2095</v>
      </c>
      <c r="F95" s="3">
        <v>0.46005787037037038</v>
      </c>
    </row>
    <row r="96" spans="1:6" x14ac:dyDescent="0.3">
      <c r="A96" s="1">
        <v>7</v>
      </c>
      <c r="B96" s="1">
        <v>6215</v>
      </c>
      <c r="C96" s="1">
        <v>5715</v>
      </c>
      <c r="D96" s="1">
        <v>5125</v>
      </c>
      <c r="E96" s="1">
        <v>2370</v>
      </c>
      <c r="F96" s="3">
        <v>0.52043981481481483</v>
      </c>
    </row>
    <row r="97" spans="1:6" x14ac:dyDescent="0.3">
      <c r="A97" s="1">
        <v>8</v>
      </c>
      <c r="B97" s="1">
        <v>6915</v>
      </c>
      <c r="C97" s="1">
        <v>6360</v>
      </c>
      <c r="D97" s="1">
        <v>5700</v>
      </c>
      <c r="E97" s="1">
        <v>2640</v>
      </c>
      <c r="F97" s="3">
        <v>0.57912037037037034</v>
      </c>
    </row>
    <row r="98" spans="1:6" x14ac:dyDescent="0.3">
      <c r="A98" s="1">
        <v>9</v>
      </c>
      <c r="B98" s="1">
        <v>7595</v>
      </c>
      <c r="C98" s="1">
        <v>6990</v>
      </c>
      <c r="D98" s="1">
        <v>6265</v>
      </c>
      <c r="E98" s="1">
        <v>2900</v>
      </c>
      <c r="F98" s="3">
        <v>0.63634259259259263</v>
      </c>
    </row>
    <row r="99" spans="1:6" x14ac:dyDescent="0.3">
      <c r="A99" s="1">
        <v>10</v>
      </c>
      <c r="B99" s="1">
        <v>8265</v>
      </c>
      <c r="C99" s="1">
        <v>7605</v>
      </c>
      <c r="D99" s="1">
        <v>6815</v>
      </c>
      <c r="E99" s="1">
        <v>3155</v>
      </c>
      <c r="F99" s="3">
        <v>0.69230324074074079</v>
      </c>
    </row>
    <row r="100" spans="1:6" x14ac:dyDescent="0.3">
      <c r="A100" s="1">
        <v>11</v>
      </c>
      <c r="B100" s="1">
        <v>8920</v>
      </c>
      <c r="C100" s="1">
        <v>8205</v>
      </c>
      <c r="D100" s="1">
        <v>7355</v>
      </c>
      <c r="E100" s="1">
        <v>3405</v>
      </c>
      <c r="F100" s="3">
        <v>0.74715277777777778</v>
      </c>
    </row>
    <row r="101" spans="1:6" x14ac:dyDescent="0.3">
      <c r="A101" s="1">
        <v>12</v>
      </c>
      <c r="B101" s="1">
        <v>9565</v>
      </c>
      <c r="C101" s="1">
        <v>8795</v>
      </c>
      <c r="D101" s="1">
        <v>7885</v>
      </c>
      <c r="E101" s="1">
        <v>3650</v>
      </c>
      <c r="F101" s="3">
        <v>0.80101851851851846</v>
      </c>
    </row>
    <row r="102" spans="1:6" x14ac:dyDescent="0.3">
      <c r="A102" s="1">
        <v>13</v>
      </c>
      <c r="B102" s="1">
        <v>10195</v>
      </c>
      <c r="C102" s="1">
        <v>9380</v>
      </c>
      <c r="D102" s="1">
        <v>8405</v>
      </c>
      <c r="E102" s="1">
        <v>3890</v>
      </c>
      <c r="F102" s="3">
        <v>0.85398148148148145</v>
      </c>
    </row>
    <row r="103" spans="1:6" x14ac:dyDescent="0.3">
      <c r="A103" s="1">
        <v>14</v>
      </c>
      <c r="B103" s="1">
        <v>10820</v>
      </c>
      <c r="C103" s="1">
        <v>9950</v>
      </c>
      <c r="D103" s="1">
        <v>8920</v>
      </c>
      <c r="E103" s="1">
        <v>4130</v>
      </c>
      <c r="F103" s="3">
        <v>0.90614583333333332</v>
      </c>
    </row>
    <row r="104" spans="1:6" x14ac:dyDescent="0.3">
      <c r="A104" s="1">
        <v>15</v>
      </c>
      <c r="B104" s="1">
        <v>11435</v>
      </c>
      <c r="C104" s="1">
        <v>10515</v>
      </c>
      <c r="D104" s="1">
        <v>9425</v>
      </c>
      <c r="E104" s="1">
        <v>4365</v>
      </c>
      <c r="F104" s="3">
        <v>0.95755787037037032</v>
      </c>
    </row>
    <row r="105" spans="1:6" x14ac:dyDescent="0.3">
      <c r="A105" s="1">
        <v>16</v>
      </c>
      <c r="B105" s="1">
        <v>12040</v>
      </c>
      <c r="C105" s="1">
        <v>11075</v>
      </c>
      <c r="D105" s="1">
        <v>9925</v>
      </c>
      <c r="E105" s="1">
        <v>4595</v>
      </c>
      <c r="F105" s="4">
        <v>1.0082986111111112</v>
      </c>
    </row>
    <row r="106" spans="1:6" x14ac:dyDescent="0.3">
      <c r="A106" s="1">
        <v>17</v>
      </c>
      <c r="B106" s="1">
        <v>12635</v>
      </c>
      <c r="C106" s="1">
        <v>11625</v>
      </c>
      <c r="D106" s="1">
        <v>10420</v>
      </c>
      <c r="E106" s="1">
        <v>4825</v>
      </c>
      <c r="F106" s="4">
        <v>1.0584143518518518</v>
      </c>
    </row>
    <row r="107" spans="1:6" x14ac:dyDescent="0.3">
      <c r="A107" s="1">
        <v>18</v>
      </c>
      <c r="B107" s="1">
        <v>13230</v>
      </c>
      <c r="C107" s="1">
        <v>12170</v>
      </c>
      <c r="D107" s="1">
        <v>10905</v>
      </c>
      <c r="E107" s="1">
        <v>5050</v>
      </c>
      <c r="F107" s="4">
        <v>1.1079282407407407</v>
      </c>
    </row>
    <row r="108" spans="1:6" x14ac:dyDescent="0.3">
      <c r="A108" s="1">
        <v>19</v>
      </c>
      <c r="B108" s="1">
        <v>13815</v>
      </c>
      <c r="C108" s="1">
        <v>12705</v>
      </c>
      <c r="D108" s="1">
        <v>11385</v>
      </c>
      <c r="E108" s="1">
        <v>5270</v>
      </c>
      <c r="F108" s="4">
        <v>1.1569097222222222</v>
      </c>
    </row>
    <row r="109" spans="1:6" x14ac:dyDescent="0.3">
      <c r="A109" s="1">
        <v>20</v>
      </c>
      <c r="B109" s="1">
        <v>14390</v>
      </c>
      <c r="C109" s="1">
        <v>13240</v>
      </c>
      <c r="D109" s="1">
        <v>11865</v>
      </c>
      <c r="E109" s="1">
        <v>5495</v>
      </c>
      <c r="F109" s="4">
        <v>1.2053703703703704</v>
      </c>
    </row>
    <row r="111" spans="1:6" x14ac:dyDescent="0.3">
      <c r="A111" t="s">
        <v>131</v>
      </c>
      <c r="B111" t="s">
        <v>17</v>
      </c>
      <c r="C111" t="s">
        <v>18</v>
      </c>
      <c r="D111" t="s">
        <v>19</v>
      </c>
      <c r="E111" t="s">
        <v>20</v>
      </c>
      <c r="F111" t="s">
        <v>22</v>
      </c>
    </row>
    <row r="112" spans="1:6" x14ac:dyDescent="0.3">
      <c r="A112" s="1">
        <v>1</v>
      </c>
      <c r="B112" s="1">
        <v>1085</v>
      </c>
      <c r="C112" s="1">
        <v>1340</v>
      </c>
      <c r="D112" s="1">
        <v>1490</v>
      </c>
      <c r="E112" s="1">
        <v>475</v>
      </c>
      <c r="F112" s="3">
        <v>0.13333333333333333</v>
      </c>
    </row>
    <row r="113" spans="1:6" x14ac:dyDescent="0.3">
      <c r="A113" s="1">
        <v>2</v>
      </c>
      <c r="B113" s="1">
        <v>1885</v>
      </c>
      <c r="C113" s="1">
        <v>2335</v>
      </c>
      <c r="D113" s="1">
        <v>2595</v>
      </c>
      <c r="E113" s="1">
        <v>825</v>
      </c>
      <c r="F113" s="3">
        <v>0.2321412037037037</v>
      </c>
    </row>
    <row r="114" spans="1:6" x14ac:dyDescent="0.3">
      <c r="A114" s="1">
        <v>3</v>
      </c>
      <c r="B114" s="1">
        <v>2610</v>
      </c>
      <c r="C114" s="1">
        <v>3225</v>
      </c>
      <c r="D114" s="1">
        <v>3590</v>
      </c>
      <c r="E114" s="1">
        <v>1140</v>
      </c>
      <c r="F114" s="3">
        <v>0.32109953703703703</v>
      </c>
    </row>
    <row r="115" spans="1:6" x14ac:dyDescent="0.3">
      <c r="A115" s="1">
        <v>4</v>
      </c>
      <c r="B115" s="1">
        <v>3285</v>
      </c>
      <c r="C115" s="1">
        <v>4060</v>
      </c>
      <c r="D115" s="1">
        <v>4515</v>
      </c>
      <c r="E115" s="1">
        <v>1435</v>
      </c>
      <c r="F115" s="3">
        <v>0.40418981481481481</v>
      </c>
    </row>
    <row r="116" spans="1:6" x14ac:dyDescent="0.3">
      <c r="A116" s="1">
        <v>5</v>
      </c>
      <c r="B116" s="1">
        <v>3925</v>
      </c>
      <c r="C116" s="1">
        <v>4855</v>
      </c>
      <c r="D116" s="1">
        <v>5400</v>
      </c>
      <c r="E116" s="1">
        <v>1715</v>
      </c>
      <c r="F116" s="3">
        <v>0.48318287037037039</v>
      </c>
    </row>
    <row r="117" spans="1:6" x14ac:dyDescent="0.3">
      <c r="A117" s="1">
        <v>6</v>
      </c>
      <c r="B117" s="1">
        <v>4540</v>
      </c>
      <c r="C117" s="1">
        <v>5620</v>
      </c>
      <c r="D117" s="1">
        <v>6250</v>
      </c>
      <c r="E117" s="1">
        <v>1985</v>
      </c>
      <c r="F117" s="3">
        <v>0.55906250000000002</v>
      </c>
    </row>
    <row r="118" spans="1:6" x14ac:dyDescent="0.3">
      <c r="A118" s="1">
        <v>7</v>
      </c>
      <c r="B118" s="1">
        <v>5140</v>
      </c>
      <c r="C118" s="1">
        <v>6355</v>
      </c>
      <c r="D118" s="1">
        <v>7065</v>
      </c>
      <c r="E118" s="1">
        <v>2245</v>
      </c>
      <c r="F118" s="3">
        <v>0.63244212962962965</v>
      </c>
    </row>
    <row r="119" spans="1:6" x14ac:dyDescent="0.3">
      <c r="A119" s="1">
        <v>8</v>
      </c>
      <c r="B119" s="1">
        <v>5720</v>
      </c>
      <c r="C119" s="1">
        <v>7075</v>
      </c>
      <c r="D119" s="1">
        <v>7865</v>
      </c>
      <c r="E119" s="1">
        <v>2500</v>
      </c>
      <c r="F119" s="3">
        <v>0.70373842592592595</v>
      </c>
    </row>
    <row r="120" spans="1:6" x14ac:dyDescent="0.3">
      <c r="A120" s="1">
        <v>9</v>
      </c>
      <c r="B120" s="1">
        <v>6285</v>
      </c>
      <c r="C120" s="1">
        <v>7770</v>
      </c>
      <c r="D120" s="1">
        <v>8640</v>
      </c>
      <c r="E120" s="1">
        <v>2745</v>
      </c>
      <c r="F120" s="3">
        <v>0.77327546296296301</v>
      </c>
    </row>
    <row r="121" spans="1:6" x14ac:dyDescent="0.3">
      <c r="A121" s="1">
        <v>10</v>
      </c>
      <c r="B121" s="1">
        <v>6835</v>
      </c>
      <c r="C121" s="1">
        <v>8455</v>
      </c>
      <c r="D121" s="1">
        <v>9400</v>
      </c>
      <c r="E121" s="1">
        <v>2985</v>
      </c>
      <c r="F121" s="3">
        <v>0.84127314814814813</v>
      </c>
    </row>
    <row r="122" spans="1:6" x14ac:dyDescent="0.3">
      <c r="A122" s="1">
        <v>11</v>
      </c>
      <c r="B122" s="1">
        <v>7375</v>
      </c>
      <c r="C122" s="1">
        <v>9125</v>
      </c>
      <c r="D122" s="1">
        <v>10145</v>
      </c>
      <c r="E122" s="1">
        <v>3225</v>
      </c>
      <c r="F122" s="3">
        <v>0.90792824074074074</v>
      </c>
    </row>
    <row r="123" spans="1:6" x14ac:dyDescent="0.3">
      <c r="A123" s="1">
        <v>12</v>
      </c>
      <c r="B123" s="1">
        <v>7910</v>
      </c>
      <c r="C123" s="1">
        <v>9780</v>
      </c>
      <c r="D123" s="1">
        <v>10880</v>
      </c>
      <c r="E123" s="1">
        <v>3455</v>
      </c>
      <c r="F123" s="3">
        <v>0.97337962962962965</v>
      </c>
    </row>
    <row r="124" spans="1:6" x14ac:dyDescent="0.3">
      <c r="A124" s="1">
        <v>13</v>
      </c>
      <c r="B124" s="1">
        <v>8430</v>
      </c>
      <c r="C124" s="1">
        <v>10430</v>
      </c>
      <c r="D124" s="1">
        <v>11595</v>
      </c>
      <c r="E124" s="1">
        <v>3685</v>
      </c>
      <c r="F124" s="4">
        <v>1.0377546296296296</v>
      </c>
    </row>
    <row r="125" spans="1:6" x14ac:dyDescent="0.3">
      <c r="A125" s="1">
        <v>14</v>
      </c>
      <c r="B125" s="1">
        <v>8945</v>
      </c>
      <c r="C125" s="1">
        <v>11065</v>
      </c>
      <c r="D125" s="1">
        <v>12305</v>
      </c>
      <c r="E125" s="1">
        <v>3910</v>
      </c>
      <c r="F125" s="4">
        <v>1.1011342592592592</v>
      </c>
    </row>
    <row r="126" spans="1:6" x14ac:dyDescent="0.3">
      <c r="A126" s="1">
        <v>15</v>
      </c>
      <c r="B126" s="1">
        <v>9455</v>
      </c>
      <c r="C126" s="1">
        <v>11695</v>
      </c>
      <c r="D126" s="1">
        <v>13005</v>
      </c>
      <c r="E126" s="1">
        <v>4130</v>
      </c>
      <c r="F126" s="4">
        <v>1.1636226851851852</v>
      </c>
    </row>
    <row r="127" spans="1:6" x14ac:dyDescent="0.3">
      <c r="A127" s="1">
        <v>16</v>
      </c>
      <c r="B127" s="1">
        <v>9955</v>
      </c>
      <c r="C127" s="1">
        <v>12315</v>
      </c>
      <c r="D127" s="1">
        <v>13690</v>
      </c>
      <c r="E127" s="1">
        <v>4350</v>
      </c>
      <c r="F127" s="4">
        <v>1.2252777777777777</v>
      </c>
    </row>
    <row r="128" spans="1:6" x14ac:dyDescent="0.3">
      <c r="A128" s="1">
        <v>17</v>
      </c>
      <c r="B128" s="1">
        <v>10450</v>
      </c>
      <c r="C128" s="1">
        <v>12925</v>
      </c>
      <c r="D128" s="1">
        <v>14375</v>
      </c>
      <c r="E128" s="1">
        <v>4565</v>
      </c>
      <c r="F128" s="4">
        <v>1.2861689814814814</v>
      </c>
    </row>
    <row r="129" spans="1:6" x14ac:dyDescent="0.3">
      <c r="A129" s="1">
        <v>18</v>
      </c>
      <c r="B129" s="1">
        <v>10940</v>
      </c>
      <c r="C129" s="1">
        <v>13530</v>
      </c>
      <c r="D129" s="1">
        <v>15045</v>
      </c>
      <c r="E129" s="1">
        <v>4780</v>
      </c>
      <c r="F129" s="4">
        <v>1.3463425925925927</v>
      </c>
    </row>
    <row r="130" spans="1:6" x14ac:dyDescent="0.3">
      <c r="A130" s="1">
        <v>19</v>
      </c>
      <c r="B130" s="1">
        <v>11425</v>
      </c>
      <c r="C130" s="1">
        <v>14130</v>
      </c>
      <c r="D130" s="1">
        <v>15710</v>
      </c>
      <c r="E130" s="1">
        <v>4990</v>
      </c>
      <c r="F130" s="4">
        <v>1.4058564814814816</v>
      </c>
    </row>
    <row r="131" spans="1:6" x14ac:dyDescent="0.3">
      <c r="A131" s="1">
        <v>20</v>
      </c>
      <c r="B131" s="1">
        <v>11900</v>
      </c>
      <c r="C131" s="1">
        <v>14720</v>
      </c>
      <c r="D131" s="1">
        <v>16370</v>
      </c>
      <c r="E131" s="1">
        <v>5200</v>
      </c>
      <c r="F131" s="4">
        <v>1.4647453703703703</v>
      </c>
    </row>
    <row r="133" spans="1:6" x14ac:dyDescent="0.3">
      <c r="A133" t="s">
        <v>130</v>
      </c>
      <c r="B133" t="s">
        <v>17</v>
      </c>
      <c r="C133" t="s">
        <v>18</v>
      </c>
      <c r="D133" t="s">
        <v>19</v>
      </c>
      <c r="E133" t="s">
        <v>20</v>
      </c>
      <c r="F133" t="s">
        <v>22</v>
      </c>
    </row>
    <row r="134" spans="1:6" x14ac:dyDescent="0.3">
      <c r="A134" s="1">
        <v>1</v>
      </c>
      <c r="B134" s="1">
        <v>2355</v>
      </c>
      <c r="C134" s="1">
        <v>1375</v>
      </c>
      <c r="D134" s="1">
        <v>860</v>
      </c>
      <c r="E134" s="1">
        <v>240</v>
      </c>
      <c r="F134" s="3">
        <v>0.1875</v>
      </c>
    </row>
    <row r="135" spans="1:6" x14ac:dyDescent="0.3">
      <c r="A135" s="1">
        <v>2</v>
      </c>
      <c r="B135" s="1">
        <v>4100</v>
      </c>
      <c r="C135" s="1">
        <v>2395</v>
      </c>
      <c r="D135" s="1">
        <v>1495</v>
      </c>
      <c r="E135" s="1">
        <v>420</v>
      </c>
      <c r="F135" s="3">
        <v>0.32645833333333335</v>
      </c>
    </row>
    <row r="136" spans="1:6" x14ac:dyDescent="0.3">
      <c r="A136" s="1">
        <v>3</v>
      </c>
      <c r="B136" s="1">
        <v>5670</v>
      </c>
      <c r="C136" s="1">
        <v>3310</v>
      </c>
      <c r="D136" s="1">
        <v>2070</v>
      </c>
      <c r="E136" s="1">
        <v>580</v>
      </c>
      <c r="F136" s="3">
        <v>0.45153935185185184</v>
      </c>
    </row>
    <row r="137" spans="1:6" x14ac:dyDescent="0.3">
      <c r="A137" s="1">
        <v>4</v>
      </c>
      <c r="B137" s="1">
        <v>7140</v>
      </c>
      <c r="C137" s="1">
        <v>4170</v>
      </c>
      <c r="D137" s="1">
        <v>2605</v>
      </c>
      <c r="E137" s="1">
        <v>730</v>
      </c>
      <c r="F137" s="3">
        <v>0.56839120370370366</v>
      </c>
    </row>
    <row r="138" spans="1:6" x14ac:dyDescent="0.3">
      <c r="A138" s="1">
        <v>5</v>
      </c>
      <c r="B138" s="1">
        <v>8535</v>
      </c>
      <c r="C138" s="1">
        <v>4985</v>
      </c>
      <c r="D138" s="1">
        <v>3115</v>
      </c>
      <c r="E138" s="1">
        <v>870</v>
      </c>
      <c r="F138" s="3">
        <v>0.67947916666666663</v>
      </c>
    </row>
    <row r="139" spans="1:6" x14ac:dyDescent="0.3">
      <c r="A139" s="1">
        <v>6</v>
      </c>
      <c r="B139" s="1">
        <v>9875</v>
      </c>
      <c r="C139" s="1">
        <v>5765</v>
      </c>
      <c r="D139" s="1">
        <v>3605</v>
      </c>
      <c r="E139" s="1">
        <v>1005</v>
      </c>
      <c r="F139" s="3">
        <v>0.78618055555555555</v>
      </c>
    </row>
    <row r="140" spans="1:6" x14ac:dyDescent="0.3">
      <c r="A140" s="1">
        <v>7</v>
      </c>
      <c r="B140" s="1">
        <v>11170</v>
      </c>
      <c r="C140" s="1">
        <v>6520</v>
      </c>
      <c r="D140" s="1">
        <v>4080</v>
      </c>
      <c r="E140" s="1">
        <v>1140</v>
      </c>
      <c r="F140" s="3">
        <v>0.88936342592592588</v>
      </c>
    </row>
    <row r="141" spans="1:6" x14ac:dyDescent="0.3">
      <c r="A141" s="1">
        <v>8</v>
      </c>
      <c r="B141" s="1">
        <v>12430</v>
      </c>
      <c r="C141" s="1">
        <v>7255</v>
      </c>
      <c r="D141" s="1">
        <v>4540</v>
      </c>
      <c r="E141" s="1">
        <v>1265</v>
      </c>
      <c r="F141" s="3">
        <v>0.98962962962962964</v>
      </c>
    </row>
    <row r="142" spans="1:6" x14ac:dyDescent="0.3">
      <c r="A142" s="1">
        <v>9</v>
      </c>
      <c r="B142" s="1">
        <v>13660</v>
      </c>
      <c r="C142" s="1">
        <v>7975</v>
      </c>
      <c r="D142" s="1">
        <v>4990</v>
      </c>
      <c r="E142" s="1">
        <v>1390</v>
      </c>
      <c r="F142" s="4">
        <v>1.0874189814814814</v>
      </c>
    </row>
    <row r="143" spans="1:6" x14ac:dyDescent="0.3">
      <c r="A143" s="1">
        <v>10</v>
      </c>
      <c r="B143" s="1">
        <v>14860</v>
      </c>
      <c r="C143" s="1">
        <v>8675</v>
      </c>
      <c r="D143" s="1">
        <v>5425</v>
      </c>
      <c r="E143" s="1">
        <v>1515</v>
      </c>
      <c r="F143" s="4">
        <v>1.1830439814814815</v>
      </c>
    </row>
    <row r="144" spans="1:6" x14ac:dyDescent="0.3">
      <c r="A144" s="1">
        <v>11</v>
      </c>
      <c r="B144" s="1">
        <v>16035</v>
      </c>
      <c r="C144" s="1">
        <v>9365</v>
      </c>
      <c r="D144" s="1">
        <v>5855</v>
      </c>
      <c r="E144" s="1">
        <v>1635</v>
      </c>
      <c r="F144" s="4">
        <v>1.2767824074074074</v>
      </c>
    </row>
    <row r="145" spans="1:6" x14ac:dyDescent="0.3">
      <c r="A145" s="1">
        <v>12</v>
      </c>
      <c r="B145" s="1">
        <v>17190</v>
      </c>
      <c r="C145" s="1">
        <v>10040</v>
      </c>
      <c r="D145" s="1">
        <v>6280</v>
      </c>
      <c r="E145" s="1">
        <v>1750</v>
      </c>
      <c r="F145" s="4">
        <v>1.3688194444444444</v>
      </c>
    </row>
    <row r="146" spans="1:6" x14ac:dyDescent="0.3">
      <c r="A146" s="1">
        <v>13</v>
      </c>
      <c r="B146" s="1">
        <v>18330</v>
      </c>
      <c r="C146" s="1">
        <v>10700</v>
      </c>
      <c r="D146" s="1">
        <v>6695</v>
      </c>
      <c r="E146" s="1">
        <v>1870</v>
      </c>
      <c r="F146" s="4">
        <v>1.4593402777777778</v>
      </c>
    </row>
    <row r="147" spans="1:6" x14ac:dyDescent="0.3">
      <c r="A147" s="1">
        <v>14</v>
      </c>
      <c r="B147" s="1">
        <v>19450</v>
      </c>
      <c r="C147" s="1">
        <v>11355</v>
      </c>
      <c r="D147" s="1">
        <v>7100</v>
      </c>
      <c r="E147" s="1">
        <v>1980</v>
      </c>
      <c r="F147" s="4">
        <v>1.5484722222222222</v>
      </c>
    </row>
    <row r="148" spans="1:6" x14ac:dyDescent="0.3">
      <c r="A148" s="1">
        <v>15</v>
      </c>
      <c r="B148" s="1">
        <v>20550</v>
      </c>
      <c r="C148" s="1">
        <v>12000</v>
      </c>
      <c r="D148" s="1">
        <v>7505</v>
      </c>
      <c r="E148" s="1">
        <v>2095</v>
      </c>
      <c r="F148" s="4">
        <v>1.6363425925925925</v>
      </c>
    </row>
    <row r="149" spans="1:6" x14ac:dyDescent="0.3">
      <c r="A149" s="1">
        <v>16</v>
      </c>
      <c r="B149" s="1">
        <v>21640</v>
      </c>
      <c r="C149" s="1">
        <v>12635</v>
      </c>
      <c r="D149" s="1">
        <v>7905</v>
      </c>
      <c r="E149" s="1">
        <v>2205</v>
      </c>
      <c r="F149" s="4">
        <v>1.7230439814814815</v>
      </c>
    </row>
    <row r="150" spans="1:6" x14ac:dyDescent="0.3">
      <c r="A150" s="1">
        <v>17</v>
      </c>
      <c r="B150" s="1">
        <v>22715</v>
      </c>
      <c r="C150" s="1">
        <v>13265</v>
      </c>
      <c r="D150" s="1">
        <v>8295</v>
      </c>
      <c r="E150" s="1">
        <v>2315</v>
      </c>
      <c r="F150" s="4">
        <v>1.8086689814814816</v>
      </c>
    </row>
    <row r="151" spans="1:6" x14ac:dyDescent="0.3">
      <c r="A151" s="1">
        <v>18</v>
      </c>
      <c r="B151" s="1">
        <v>23780</v>
      </c>
      <c r="C151" s="1">
        <v>13885</v>
      </c>
      <c r="D151" s="1">
        <v>8685</v>
      </c>
      <c r="E151" s="1">
        <v>2425</v>
      </c>
      <c r="F151" s="4">
        <v>1.8932986111111112</v>
      </c>
    </row>
    <row r="152" spans="1:6" x14ac:dyDescent="0.3">
      <c r="A152" s="1">
        <v>19</v>
      </c>
      <c r="B152" s="1">
        <v>24830</v>
      </c>
      <c r="C152" s="1">
        <v>14500</v>
      </c>
      <c r="D152" s="1">
        <v>9070</v>
      </c>
      <c r="E152" s="1">
        <v>2530</v>
      </c>
      <c r="F152" s="4">
        <v>1.9769907407407408</v>
      </c>
    </row>
    <row r="153" spans="1:6" x14ac:dyDescent="0.3">
      <c r="A153" s="1">
        <v>20</v>
      </c>
      <c r="B153" s="1">
        <v>25870</v>
      </c>
      <c r="C153" s="1">
        <v>15105</v>
      </c>
      <c r="D153" s="1">
        <v>9450</v>
      </c>
      <c r="E153" s="1">
        <v>2635</v>
      </c>
      <c r="F153" s="4">
        <v>2.0598032407407407</v>
      </c>
    </row>
    <row r="155" spans="1:6" x14ac:dyDescent="0.3">
      <c r="A155" t="s">
        <v>129</v>
      </c>
      <c r="B155" t="s">
        <v>17</v>
      </c>
      <c r="C155" t="s">
        <v>18</v>
      </c>
      <c r="D155" t="s">
        <v>19</v>
      </c>
      <c r="E155" t="s">
        <v>20</v>
      </c>
      <c r="F155" t="s">
        <v>22</v>
      </c>
    </row>
    <row r="156" spans="1:6" x14ac:dyDescent="0.3">
      <c r="A156" s="1">
        <v>1</v>
      </c>
      <c r="B156" s="1">
        <v>1160</v>
      </c>
      <c r="C156" s="1">
        <v>1780</v>
      </c>
      <c r="D156" s="1">
        <v>805</v>
      </c>
      <c r="E156" s="1">
        <v>145</v>
      </c>
      <c r="F156" s="3">
        <v>0.33333333333333331</v>
      </c>
    </row>
    <row r="157" spans="1:6" x14ac:dyDescent="0.3">
      <c r="A157" s="1">
        <v>2</v>
      </c>
      <c r="B157" s="1">
        <v>2020</v>
      </c>
      <c r="C157" s="1">
        <v>3095</v>
      </c>
      <c r="D157" s="1">
        <v>1400</v>
      </c>
      <c r="E157" s="1">
        <v>250</v>
      </c>
      <c r="F157" s="3">
        <v>0.58037037037037043</v>
      </c>
    </row>
    <row r="158" spans="1:6" x14ac:dyDescent="0.3">
      <c r="A158" s="1">
        <v>3</v>
      </c>
      <c r="B158" s="1">
        <v>2795</v>
      </c>
      <c r="C158" s="1">
        <v>4285</v>
      </c>
      <c r="D158" s="1">
        <v>1935</v>
      </c>
      <c r="E158" s="1">
        <v>345</v>
      </c>
      <c r="F158" s="3">
        <v>0.80274305555555558</v>
      </c>
    </row>
    <row r="159" spans="1:6" x14ac:dyDescent="0.3">
      <c r="A159" s="1">
        <v>4</v>
      </c>
      <c r="B159" s="1">
        <v>3515</v>
      </c>
      <c r="C159" s="1">
        <v>5390</v>
      </c>
      <c r="D159" s="1">
        <v>2435</v>
      </c>
      <c r="E159" s="1">
        <v>435</v>
      </c>
      <c r="F159" s="4">
        <v>1.0104745370370369</v>
      </c>
    </row>
    <row r="160" spans="1:6" x14ac:dyDescent="0.3">
      <c r="A160" s="1">
        <v>5</v>
      </c>
      <c r="B160" s="1">
        <v>4205</v>
      </c>
      <c r="C160" s="1">
        <v>6445</v>
      </c>
      <c r="D160" s="1">
        <v>2910</v>
      </c>
      <c r="E160" s="1">
        <v>520</v>
      </c>
      <c r="F160" s="4">
        <v>1.2079629629629629</v>
      </c>
    </row>
    <row r="161" spans="1:6" x14ac:dyDescent="0.3">
      <c r="A161" s="1">
        <v>6</v>
      </c>
      <c r="B161" s="1">
        <v>4865</v>
      </c>
      <c r="C161" s="1">
        <v>7455</v>
      </c>
      <c r="D161" s="1">
        <v>3370</v>
      </c>
      <c r="E161" s="1">
        <v>600</v>
      </c>
      <c r="F161" s="4">
        <v>1.3976504629629629</v>
      </c>
    </row>
    <row r="162" spans="1:6" x14ac:dyDescent="0.3">
      <c r="A162" s="1">
        <v>7</v>
      </c>
      <c r="B162" s="1">
        <v>5500</v>
      </c>
      <c r="C162" s="1">
        <v>8435</v>
      </c>
      <c r="D162" s="1">
        <v>3810</v>
      </c>
      <c r="E162" s="1">
        <v>680</v>
      </c>
      <c r="F162" s="4">
        <v>1.5810879629629631</v>
      </c>
    </row>
    <row r="163" spans="1:6" x14ac:dyDescent="0.3">
      <c r="A163" s="1">
        <v>8</v>
      </c>
      <c r="B163" s="1">
        <v>6125</v>
      </c>
      <c r="C163" s="1">
        <v>9385</v>
      </c>
      <c r="D163" s="1">
        <v>4240</v>
      </c>
      <c r="E163" s="1">
        <v>755</v>
      </c>
      <c r="F163" s="4">
        <v>1.7593402777777778</v>
      </c>
    </row>
    <row r="164" spans="1:6" x14ac:dyDescent="0.3">
      <c r="A164" s="1">
        <v>9</v>
      </c>
      <c r="B164" s="1">
        <v>6725</v>
      </c>
      <c r="C164" s="1">
        <v>10315</v>
      </c>
      <c r="D164" s="1">
        <v>4660</v>
      </c>
      <c r="E164" s="1">
        <v>830</v>
      </c>
      <c r="F164" s="4">
        <v>1.9331828703703704</v>
      </c>
    </row>
    <row r="165" spans="1:6" x14ac:dyDescent="0.3">
      <c r="A165" s="1">
        <v>10</v>
      </c>
      <c r="B165" s="1">
        <v>7320</v>
      </c>
      <c r="C165" s="1">
        <v>11220</v>
      </c>
      <c r="D165" s="1">
        <v>5070</v>
      </c>
      <c r="E165" s="1">
        <v>905</v>
      </c>
      <c r="F165" s="4">
        <v>2.1031944444444446</v>
      </c>
    </row>
    <row r="166" spans="1:6" x14ac:dyDescent="0.3">
      <c r="A166" s="1">
        <v>11</v>
      </c>
      <c r="B166" s="1">
        <v>7900</v>
      </c>
      <c r="C166" s="1">
        <v>12110</v>
      </c>
      <c r="D166" s="1">
        <v>5470</v>
      </c>
      <c r="E166" s="1">
        <v>975</v>
      </c>
      <c r="F166" s="4">
        <v>2.2698263888888888</v>
      </c>
    </row>
    <row r="167" spans="1:6" x14ac:dyDescent="0.3">
      <c r="A167" s="1">
        <v>12</v>
      </c>
      <c r="B167" s="1">
        <v>8470</v>
      </c>
      <c r="C167" s="1">
        <v>12980</v>
      </c>
      <c r="D167" s="1">
        <v>5865</v>
      </c>
      <c r="E167" s="1">
        <v>1045</v>
      </c>
      <c r="F167" s="4">
        <v>2.4334606481481482</v>
      </c>
    </row>
    <row r="168" spans="1:6" x14ac:dyDescent="0.3">
      <c r="A168" s="1">
        <v>13</v>
      </c>
      <c r="B168" s="1">
        <v>9030</v>
      </c>
      <c r="C168" s="1">
        <v>13840</v>
      </c>
      <c r="D168" s="1">
        <v>6250</v>
      </c>
      <c r="E168" s="1">
        <v>1115</v>
      </c>
      <c r="F168" s="4">
        <v>2.5943749999999999</v>
      </c>
    </row>
    <row r="169" spans="1:6" x14ac:dyDescent="0.3">
      <c r="A169" s="1">
        <v>14</v>
      </c>
      <c r="B169" s="1">
        <v>9580</v>
      </c>
      <c r="C169" s="1">
        <v>14685</v>
      </c>
      <c r="D169" s="1">
        <v>6635</v>
      </c>
      <c r="E169" s="1">
        <v>1185</v>
      </c>
      <c r="F169" s="4">
        <v>2.7528356481481482</v>
      </c>
    </row>
    <row r="170" spans="1:6" x14ac:dyDescent="0.3">
      <c r="A170" s="1">
        <v>15</v>
      </c>
      <c r="B170" s="1">
        <v>10125</v>
      </c>
      <c r="C170" s="1">
        <v>15520</v>
      </c>
      <c r="D170" s="1">
        <v>7010</v>
      </c>
      <c r="E170" s="1">
        <v>1250</v>
      </c>
      <c r="F170" s="4">
        <v>2.9090509259259258</v>
      </c>
    </row>
    <row r="171" spans="1:6" x14ac:dyDescent="0.3">
      <c r="A171" s="1">
        <v>16</v>
      </c>
      <c r="B171" s="1">
        <v>10660</v>
      </c>
      <c r="C171" s="1">
        <v>16340</v>
      </c>
      <c r="D171" s="1">
        <v>7380</v>
      </c>
      <c r="E171" s="1">
        <v>1315</v>
      </c>
      <c r="F171" s="4">
        <v>3.0631944444444446</v>
      </c>
    </row>
    <row r="172" spans="1:6" x14ac:dyDescent="0.3">
      <c r="A172" s="1">
        <v>17</v>
      </c>
      <c r="B172" s="1">
        <v>11190</v>
      </c>
      <c r="C172" s="1">
        <v>17155</v>
      </c>
      <c r="D172" s="1">
        <v>7750</v>
      </c>
      <c r="E172" s="1">
        <v>1385</v>
      </c>
      <c r="F172" s="4">
        <v>3.2154166666666666</v>
      </c>
    </row>
    <row r="173" spans="1:6" x14ac:dyDescent="0.3">
      <c r="A173" s="1">
        <v>18</v>
      </c>
      <c r="B173" s="1">
        <v>11715</v>
      </c>
      <c r="C173" s="1">
        <v>17955</v>
      </c>
      <c r="D173" s="1">
        <v>8110</v>
      </c>
      <c r="E173" s="1">
        <v>1445</v>
      </c>
      <c r="F173" s="4">
        <v>3.3658680555555556</v>
      </c>
    </row>
    <row r="174" spans="1:6" x14ac:dyDescent="0.3">
      <c r="A174" s="1">
        <v>19</v>
      </c>
      <c r="B174" s="1">
        <v>12230</v>
      </c>
      <c r="C174" s="1">
        <v>18750</v>
      </c>
      <c r="D174" s="1">
        <v>8470</v>
      </c>
      <c r="E174" s="1">
        <v>1510</v>
      </c>
      <c r="F174" s="4">
        <v>3.5146412037037038</v>
      </c>
    </row>
    <row r="175" spans="1:6" x14ac:dyDescent="0.3">
      <c r="A175" s="1">
        <v>20</v>
      </c>
      <c r="B175" s="1">
        <v>12745</v>
      </c>
      <c r="C175" s="1">
        <v>19535</v>
      </c>
      <c r="D175" s="1">
        <v>8825</v>
      </c>
      <c r="E175" s="1">
        <v>1575</v>
      </c>
      <c r="F175" s="4">
        <v>3.661863425925926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F2A35-F2CC-4F1F-B31C-071EA1D3E1F8}">
  <dimension ref="A1:F175"/>
  <sheetViews>
    <sheetView workbookViewId="0">
      <selection activeCell="K154" sqref="K154"/>
    </sheetView>
  </sheetViews>
  <sheetFormatPr defaultRowHeight="14.4" x14ac:dyDescent="0.3"/>
  <sheetData>
    <row r="1" spans="1:6" x14ac:dyDescent="0.3">
      <c r="A1" t="s">
        <v>142</v>
      </c>
      <c r="B1" t="s">
        <v>17</v>
      </c>
      <c r="C1" t="s">
        <v>18</v>
      </c>
      <c r="D1" t="s">
        <v>19</v>
      </c>
      <c r="E1" t="s">
        <v>20</v>
      </c>
      <c r="F1" t="s">
        <v>22</v>
      </c>
    </row>
    <row r="2" spans="1:6" x14ac:dyDescent="0.3">
      <c r="A2" s="1">
        <v>1</v>
      </c>
      <c r="B2" s="1">
        <v>870</v>
      </c>
      <c r="C2" s="1">
        <v>1395</v>
      </c>
      <c r="D2" s="1">
        <v>970</v>
      </c>
      <c r="E2" s="1">
        <v>405</v>
      </c>
      <c r="F2" s="3">
        <v>7.9861111111111105E-2</v>
      </c>
    </row>
    <row r="3" spans="1:6" x14ac:dyDescent="0.3">
      <c r="A3" s="1">
        <v>2</v>
      </c>
      <c r="B3" s="1">
        <v>1515</v>
      </c>
      <c r="C3" s="1">
        <v>2430</v>
      </c>
      <c r="D3" s="1">
        <v>1690</v>
      </c>
      <c r="E3" s="1">
        <v>705</v>
      </c>
      <c r="F3" s="3">
        <v>0.13905092592592594</v>
      </c>
    </row>
    <row r="4" spans="1:6" x14ac:dyDescent="0.3">
      <c r="A4" s="1">
        <v>3</v>
      </c>
      <c r="B4" s="1">
        <v>2095</v>
      </c>
      <c r="C4" s="1">
        <v>3360</v>
      </c>
      <c r="D4" s="1">
        <v>2335</v>
      </c>
      <c r="E4" s="1">
        <v>975</v>
      </c>
      <c r="F4" s="3">
        <v>0.19232638888888889</v>
      </c>
    </row>
    <row r="5" spans="1:6" x14ac:dyDescent="0.3">
      <c r="A5" s="1">
        <v>4</v>
      </c>
      <c r="B5" s="1">
        <v>2635</v>
      </c>
      <c r="C5" s="1">
        <v>4230</v>
      </c>
      <c r="D5" s="1">
        <v>2940</v>
      </c>
      <c r="E5" s="1">
        <v>1230</v>
      </c>
      <c r="F5" s="3">
        <v>0.24209490740740741</v>
      </c>
    </row>
    <row r="6" spans="1:6" x14ac:dyDescent="0.3">
      <c r="A6" s="1">
        <v>5</v>
      </c>
      <c r="B6" s="1">
        <v>3155</v>
      </c>
      <c r="C6" s="1">
        <v>5055</v>
      </c>
      <c r="D6" s="1">
        <v>3515</v>
      </c>
      <c r="E6" s="1">
        <v>1470</v>
      </c>
      <c r="F6" s="3">
        <v>0.28940972222222222</v>
      </c>
    </row>
    <row r="7" spans="1:6" x14ac:dyDescent="0.3">
      <c r="A7" s="1">
        <v>6</v>
      </c>
      <c r="B7" s="1">
        <v>3650</v>
      </c>
      <c r="C7" s="1">
        <v>5850</v>
      </c>
      <c r="D7" s="1">
        <v>4065</v>
      </c>
      <c r="E7" s="1">
        <v>1700</v>
      </c>
      <c r="F7" s="3">
        <v>0.33484953703703701</v>
      </c>
    </row>
    <row r="8" spans="1:6" x14ac:dyDescent="0.3">
      <c r="A8" s="1">
        <v>7</v>
      </c>
      <c r="B8" s="1">
        <v>4125</v>
      </c>
      <c r="C8" s="1">
        <v>6615</v>
      </c>
      <c r="D8" s="1">
        <v>4600</v>
      </c>
      <c r="E8" s="1">
        <v>1920</v>
      </c>
      <c r="F8" s="3">
        <v>0.37880787037037039</v>
      </c>
    </row>
    <row r="9" spans="1:6" x14ac:dyDescent="0.3">
      <c r="A9" s="1">
        <v>8</v>
      </c>
      <c r="B9" s="1">
        <v>4590</v>
      </c>
      <c r="C9" s="1">
        <v>7365</v>
      </c>
      <c r="D9" s="1">
        <v>5120</v>
      </c>
      <c r="E9" s="1">
        <v>2140</v>
      </c>
      <c r="F9" s="3">
        <v>0.42150462962962965</v>
      </c>
    </row>
    <row r="10" spans="1:6" x14ac:dyDescent="0.3">
      <c r="A10" s="1">
        <v>9</v>
      </c>
      <c r="B10" s="1">
        <v>5045</v>
      </c>
      <c r="C10" s="1">
        <v>8090</v>
      </c>
      <c r="D10" s="1">
        <v>5625</v>
      </c>
      <c r="E10" s="1">
        <v>2350</v>
      </c>
      <c r="F10" s="3">
        <v>0.46315972222222224</v>
      </c>
    </row>
    <row r="11" spans="1:6" x14ac:dyDescent="0.3">
      <c r="A11" s="1">
        <v>10</v>
      </c>
      <c r="B11" s="1">
        <v>5490</v>
      </c>
      <c r="C11" s="1">
        <v>8800</v>
      </c>
      <c r="D11" s="1">
        <v>6120</v>
      </c>
      <c r="E11" s="1">
        <v>2555</v>
      </c>
      <c r="F11" s="3">
        <v>0.50388888888888894</v>
      </c>
    </row>
    <row r="12" spans="1:6" x14ac:dyDescent="0.3">
      <c r="A12" s="1">
        <v>11</v>
      </c>
      <c r="B12" s="1">
        <v>5925</v>
      </c>
      <c r="C12" s="1">
        <v>9500</v>
      </c>
      <c r="D12" s="1">
        <v>6605</v>
      </c>
      <c r="E12" s="1">
        <v>2760</v>
      </c>
      <c r="F12" s="3">
        <v>0.54380787037037037</v>
      </c>
    </row>
    <row r="13" spans="1:6" x14ac:dyDescent="0.3">
      <c r="A13" s="1">
        <v>12</v>
      </c>
      <c r="B13" s="1">
        <v>6350</v>
      </c>
      <c r="C13" s="1">
        <v>10185</v>
      </c>
      <c r="D13" s="1">
        <v>7080</v>
      </c>
      <c r="E13" s="1">
        <v>2955</v>
      </c>
      <c r="F13" s="3">
        <v>0.58302083333333332</v>
      </c>
    </row>
    <row r="14" spans="1:6" x14ac:dyDescent="0.3">
      <c r="A14" s="1">
        <v>13</v>
      </c>
      <c r="B14" s="1">
        <v>6770</v>
      </c>
      <c r="C14" s="1">
        <v>10855</v>
      </c>
      <c r="D14" s="1">
        <v>7550</v>
      </c>
      <c r="E14" s="1">
        <v>3150</v>
      </c>
      <c r="F14" s="3">
        <v>0.62157407407407406</v>
      </c>
    </row>
    <row r="15" spans="1:6" x14ac:dyDescent="0.3">
      <c r="A15" s="1">
        <v>14</v>
      </c>
      <c r="B15" s="1">
        <v>7185</v>
      </c>
      <c r="C15" s="1">
        <v>11520</v>
      </c>
      <c r="D15" s="1">
        <v>8010</v>
      </c>
      <c r="E15" s="1">
        <v>3345</v>
      </c>
      <c r="F15" s="3">
        <v>0.65953703703703703</v>
      </c>
    </row>
    <row r="16" spans="1:6" x14ac:dyDescent="0.3">
      <c r="A16" s="1">
        <v>15</v>
      </c>
      <c r="B16" s="1">
        <v>7595</v>
      </c>
      <c r="C16" s="1">
        <v>12175</v>
      </c>
      <c r="D16" s="1">
        <v>8465</v>
      </c>
      <c r="E16" s="1">
        <v>3535</v>
      </c>
      <c r="F16" s="3">
        <v>0.69695601851851852</v>
      </c>
    </row>
    <row r="17" spans="1:6" x14ac:dyDescent="0.3">
      <c r="A17" s="1">
        <v>16</v>
      </c>
      <c r="B17" s="1">
        <v>7995</v>
      </c>
      <c r="C17" s="1">
        <v>12820</v>
      </c>
      <c r="D17" s="1">
        <v>8915</v>
      </c>
      <c r="E17" s="1">
        <v>3720</v>
      </c>
      <c r="F17" s="3">
        <v>0.73388888888888892</v>
      </c>
    </row>
    <row r="18" spans="1:6" x14ac:dyDescent="0.3">
      <c r="A18" s="1">
        <v>17</v>
      </c>
      <c r="B18" s="1">
        <v>8390</v>
      </c>
      <c r="C18" s="1">
        <v>13455</v>
      </c>
      <c r="D18" s="1">
        <v>9355</v>
      </c>
      <c r="E18" s="1">
        <v>3905</v>
      </c>
      <c r="F18" s="3">
        <v>0.77035879629629633</v>
      </c>
    </row>
    <row r="19" spans="1:6" x14ac:dyDescent="0.3">
      <c r="A19" s="1">
        <v>18</v>
      </c>
      <c r="B19" s="1">
        <v>8785</v>
      </c>
      <c r="C19" s="1">
        <v>14085</v>
      </c>
      <c r="D19" s="1">
        <v>9795</v>
      </c>
      <c r="E19" s="1">
        <v>4090</v>
      </c>
      <c r="F19" s="3">
        <v>0.80640046296296297</v>
      </c>
    </row>
    <row r="20" spans="1:6" x14ac:dyDescent="0.3">
      <c r="A20" s="1">
        <v>19</v>
      </c>
      <c r="B20" s="1">
        <v>9175</v>
      </c>
      <c r="C20" s="1">
        <v>14710</v>
      </c>
      <c r="D20" s="1">
        <v>10230</v>
      </c>
      <c r="E20" s="1">
        <v>4270</v>
      </c>
      <c r="F20" s="3">
        <v>0.84204861111111107</v>
      </c>
    </row>
    <row r="21" spans="1:6" x14ac:dyDescent="0.3">
      <c r="A21" s="1">
        <v>20</v>
      </c>
      <c r="B21" s="1">
        <v>9555</v>
      </c>
      <c r="C21" s="1">
        <v>15325</v>
      </c>
      <c r="D21" s="1">
        <v>10655</v>
      </c>
      <c r="E21" s="1">
        <v>4450</v>
      </c>
      <c r="F21" s="3">
        <v>0.87732638888888892</v>
      </c>
    </row>
    <row r="23" spans="1:6" x14ac:dyDescent="0.3">
      <c r="A23" t="s">
        <v>141</v>
      </c>
      <c r="B23" t="s">
        <v>17</v>
      </c>
      <c r="C23" t="s">
        <v>18</v>
      </c>
      <c r="D23" t="s">
        <v>19</v>
      </c>
      <c r="E23" t="s">
        <v>20</v>
      </c>
      <c r="F23" t="s">
        <v>22</v>
      </c>
    </row>
    <row r="24" spans="1:6" x14ac:dyDescent="0.3">
      <c r="A24" s="1">
        <v>1</v>
      </c>
      <c r="B24" s="1">
        <v>1395</v>
      </c>
      <c r="C24" s="1">
        <v>1150</v>
      </c>
      <c r="D24" s="1">
        <v>445</v>
      </c>
      <c r="E24" s="1">
        <v>685</v>
      </c>
      <c r="F24" s="3">
        <v>6.3611111111111104E-2</v>
      </c>
    </row>
    <row r="25" spans="1:6" x14ac:dyDescent="0.3">
      <c r="A25" s="1">
        <v>2</v>
      </c>
      <c r="B25" s="1">
        <v>2430</v>
      </c>
      <c r="C25" s="1">
        <v>2000</v>
      </c>
      <c r="D25" s="1">
        <v>775</v>
      </c>
      <c r="E25" s="1">
        <v>1195</v>
      </c>
      <c r="F25" s="3">
        <v>0.11075231481481482</v>
      </c>
    </row>
    <row r="26" spans="1:6" x14ac:dyDescent="0.3">
      <c r="A26" s="1">
        <v>3</v>
      </c>
      <c r="B26" s="1">
        <v>3360</v>
      </c>
      <c r="C26" s="1">
        <v>2770</v>
      </c>
      <c r="D26" s="1">
        <v>1070</v>
      </c>
      <c r="E26" s="1">
        <v>1650</v>
      </c>
      <c r="F26" s="3">
        <v>0.15319444444444444</v>
      </c>
    </row>
    <row r="27" spans="1:6" x14ac:dyDescent="0.3">
      <c r="A27" s="1">
        <v>4</v>
      </c>
      <c r="B27" s="1">
        <v>4230</v>
      </c>
      <c r="C27" s="1">
        <v>3485</v>
      </c>
      <c r="D27" s="1">
        <v>1350</v>
      </c>
      <c r="E27" s="1">
        <v>2075</v>
      </c>
      <c r="F27" s="3">
        <v>0.19283564814814816</v>
      </c>
    </row>
    <row r="28" spans="1:6" x14ac:dyDescent="0.3">
      <c r="A28" s="1">
        <v>5</v>
      </c>
      <c r="B28" s="1">
        <v>5055</v>
      </c>
      <c r="C28" s="1">
        <v>4165</v>
      </c>
      <c r="D28" s="1">
        <v>1615</v>
      </c>
      <c r="E28" s="1">
        <v>2480</v>
      </c>
      <c r="F28" s="3">
        <v>0.23052083333333334</v>
      </c>
    </row>
    <row r="29" spans="1:6" x14ac:dyDescent="0.3">
      <c r="A29" s="1">
        <v>6</v>
      </c>
      <c r="B29" s="1">
        <v>5850</v>
      </c>
      <c r="C29" s="1">
        <v>4820</v>
      </c>
      <c r="D29" s="1">
        <v>1865</v>
      </c>
      <c r="E29" s="1">
        <v>2870</v>
      </c>
      <c r="F29" s="3">
        <v>0.26672453703703702</v>
      </c>
    </row>
    <row r="30" spans="1:6" x14ac:dyDescent="0.3">
      <c r="A30" s="1">
        <v>7</v>
      </c>
      <c r="B30" s="1">
        <v>6615</v>
      </c>
      <c r="C30" s="1">
        <v>5455</v>
      </c>
      <c r="D30" s="1">
        <v>2110</v>
      </c>
      <c r="E30" s="1">
        <v>3250</v>
      </c>
      <c r="F30" s="3">
        <v>0.30172453703703705</v>
      </c>
    </row>
    <row r="31" spans="1:6" x14ac:dyDescent="0.3">
      <c r="A31" s="1">
        <v>8</v>
      </c>
      <c r="B31" s="1">
        <v>7365</v>
      </c>
      <c r="C31" s="1">
        <v>6070</v>
      </c>
      <c r="D31" s="1">
        <v>2350</v>
      </c>
      <c r="E31" s="1">
        <v>3615</v>
      </c>
      <c r="F31" s="3">
        <v>0.33574074074074073</v>
      </c>
    </row>
    <row r="32" spans="1:6" x14ac:dyDescent="0.3">
      <c r="A32" s="1">
        <v>9</v>
      </c>
      <c r="B32" s="1">
        <v>8090</v>
      </c>
      <c r="C32" s="1">
        <v>6670</v>
      </c>
      <c r="D32" s="1">
        <v>2580</v>
      </c>
      <c r="E32" s="1">
        <v>3975</v>
      </c>
      <c r="F32" s="3">
        <v>0.36891203703703701</v>
      </c>
    </row>
    <row r="33" spans="1:6" x14ac:dyDescent="0.3">
      <c r="A33" s="1">
        <v>10</v>
      </c>
      <c r="B33" s="1">
        <v>8800</v>
      </c>
      <c r="C33" s="1">
        <v>7255</v>
      </c>
      <c r="D33" s="1">
        <v>2810</v>
      </c>
      <c r="E33" s="1">
        <v>4320</v>
      </c>
      <c r="F33" s="3">
        <v>0.40135416666666668</v>
      </c>
    </row>
    <row r="34" spans="1:6" x14ac:dyDescent="0.3">
      <c r="A34" s="1">
        <v>11</v>
      </c>
      <c r="B34" s="1">
        <v>9500</v>
      </c>
      <c r="C34" s="1">
        <v>7830</v>
      </c>
      <c r="D34" s="1">
        <v>3030</v>
      </c>
      <c r="E34" s="1">
        <v>4665</v>
      </c>
      <c r="F34" s="3">
        <v>0.43315972222222221</v>
      </c>
    </row>
    <row r="35" spans="1:6" x14ac:dyDescent="0.3">
      <c r="A35" s="1">
        <v>12</v>
      </c>
      <c r="B35" s="1">
        <v>10185</v>
      </c>
      <c r="C35" s="1">
        <v>8395</v>
      </c>
      <c r="D35" s="1">
        <v>3250</v>
      </c>
      <c r="E35" s="1">
        <v>5000</v>
      </c>
      <c r="F35" s="3">
        <v>0.46438657407407408</v>
      </c>
    </row>
    <row r="36" spans="1:6" x14ac:dyDescent="0.3">
      <c r="A36" s="1">
        <v>13</v>
      </c>
      <c r="B36" s="1">
        <v>10855</v>
      </c>
      <c r="C36" s="1">
        <v>8950</v>
      </c>
      <c r="D36" s="1">
        <v>3465</v>
      </c>
      <c r="E36" s="1">
        <v>5330</v>
      </c>
      <c r="F36" s="3">
        <v>0.49509259259259258</v>
      </c>
    </row>
    <row r="37" spans="1:6" x14ac:dyDescent="0.3">
      <c r="A37" s="1">
        <v>14</v>
      </c>
      <c r="B37" s="1">
        <v>11520</v>
      </c>
      <c r="C37" s="1">
        <v>9495</v>
      </c>
      <c r="D37" s="1">
        <v>3675</v>
      </c>
      <c r="E37" s="1">
        <v>5655</v>
      </c>
      <c r="F37" s="3">
        <v>0.52533564814814815</v>
      </c>
    </row>
    <row r="38" spans="1:6" x14ac:dyDescent="0.3">
      <c r="A38" s="1">
        <v>15</v>
      </c>
      <c r="B38" s="1">
        <v>12175</v>
      </c>
      <c r="C38" s="1">
        <v>10035</v>
      </c>
      <c r="D38" s="1">
        <v>3885</v>
      </c>
      <c r="E38" s="1">
        <v>5980</v>
      </c>
      <c r="F38" s="3">
        <v>0.55513888888888885</v>
      </c>
    </row>
    <row r="39" spans="1:6" x14ac:dyDescent="0.3">
      <c r="A39" s="1">
        <v>16</v>
      </c>
      <c r="B39" s="1">
        <v>12820</v>
      </c>
      <c r="C39" s="1">
        <v>10570</v>
      </c>
      <c r="D39" s="1">
        <v>4090</v>
      </c>
      <c r="E39" s="1">
        <v>6295</v>
      </c>
      <c r="F39" s="3">
        <v>0.58456018518518515</v>
      </c>
    </row>
    <row r="40" spans="1:6" x14ac:dyDescent="0.3">
      <c r="A40" s="1">
        <v>17</v>
      </c>
      <c r="B40" s="1">
        <v>13455</v>
      </c>
      <c r="C40" s="1">
        <v>11095</v>
      </c>
      <c r="D40" s="1">
        <v>4295</v>
      </c>
      <c r="E40" s="1">
        <v>6610</v>
      </c>
      <c r="F40" s="3">
        <v>0.61361111111111111</v>
      </c>
    </row>
    <row r="41" spans="1:6" x14ac:dyDescent="0.3">
      <c r="A41" s="1">
        <v>18</v>
      </c>
      <c r="B41" s="1">
        <v>14085</v>
      </c>
      <c r="C41" s="1">
        <v>11610</v>
      </c>
      <c r="D41" s="1">
        <v>4495</v>
      </c>
      <c r="E41" s="1">
        <v>6915</v>
      </c>
      <c r="F41" s="3">
        <v>0.64231481481481478</v>
      </c>
    </row>
    <row r="42" spans="1:6" x14ac:dyDescent="0.3">
      <c r="A42" s="1">
        <v>19</v>
      </c>
      <c r="B42" s="1">
        <v>14710</v>
      </c>
      <c r="C42" s="1">
        <v>12125</v>
      </c>
      <c r="D42" s="1">
        <v>4690</v>
      </c>
      <c r="E42" s="1">
        <v>7225</v>
      </c>
      <c r="F42" s="3">
        <v>0.67070601851851852</v>
      </c>
    </row>
    <row r="43" spans="1:6" x14ac:dyDescent="0.3">
      <c r="A43" s="1">
        <v>20</v>
      </c>
      <c r="B43" s="1">
        <v>15325</v>
      </c>
      <c r="C43" s="1">
        <v>12635</v>
      </c>
      <c r="D43" s="1">
        <v>4890</v>
      </c>
      <c r="E43" s="1">
        <v>7525</v>
      </c>
      <c r="F43" s="3">
        <v>0.6988078703703704</v>
      </c>
    </row>
    <row r="45" spans="1:6" x14ac:dyDescent="0.3">
      <c r="A45" t="s">
        <v>140</v>
      </c>
      <c r="B45" t="s">
        <v>17</v>
      </c>
      <c r="C45" t="s">
        <v>18</v>
      </c>
      <c r="D45" t="s">
        <v>19</v>
      </c>
      <c r="E45" t="s">
        <v>20</v>
      </c>
      <c r="F45" t="s">
        <v>22</v>
      </c>
    </row>
    <row r="46" spans="1:6" x14ac:dyDescent="0.3">
      <c r="A46" s="1">
        <v>1</v>
      </c>
      <c r="B46" s="1">
        <v>1115</v>
      </c>
      <c r="C46" s="1">
        <v>765</v>
      </c>
      <c r="D46" s="1">
        <v>1915</v>
      </c>
      <c r="E46" s="1">
        <v>475</v>
      </c>
      <c r="F46" s="3">
        <v>8.8055555555555554E-2</v>
      </c>
    </row>
    <row r="47" spans="1:6" x14ac:dyDescent="0.3">
      <c r="A47" s="1">
        <v>2</v>
      </c>
      <c r="B47" s="1">
        <v>1940</v>
      </c>
      <c r="C47" s="1">
        <v>1330</v>
      </c>
      <c r="D47" s="1">
        <v>3335</v>
      </c>
      <c r="E47" s="1">
        <v>825</v>
      </c>
      <c r="F47" s="3">
        <v>0.15331018518518519</v>
      </c>
    </row>
    <row r="48" spans="1:6" x14ac:dyDescent="0.3">
      <c r="A48" s="1">
        <v>3</v>
      </c>
      <c r="B48" s="1">
        <v>2685</v>
      </c>
      <c r="C48" s="1">
        <v>1840</v>
      </c>
      <c r="D48" s="1">
        <v>4610</v>
      </c>
      <c r="E48" s="1">
        <v>1145</v>
      </c>
      <c r="F48" s="3">
        <v>0.21206018518518518</v>
      </c>
    </row>
    <row r="49" spans="1:6" x14ac:dyDescent="0.3">
      <c r="A49" s="1">
        <v>4</v>
      </c>
      <c r="B49" s="1">
        <v>3380</v>
      </c>
      <c r="C49" s="1">
        <v>2320</v>
      </c>
      <c r="D49" s="1">
        <v>5805</v>
      </c>
      <c r="E49" s="1">
        <v>1440</v>
      </c>
      <c r="F49" s="3">
        <v>0.26693287037037039</v>
      </c>
    </row>
    <row r="50" spans="1:6" x14ac:dyDescent="0.3">
      <c r="A50" s="1">
        <v>5</v>
      </c>
      <c r="B50" s="1">
        <v>4040</v>
      </c>
      <c r="C50" s="1">
        <v>2770</v>
      </c>
      <c r="D50" s="1">
        <v>6940</v>
      </c>
      <c r="E50" s="1">
        <v>1720</v>
      </c>
      <c r="F50" s="3">
        <v>0.31910879629629629</v>
      </c>
    </row>
    <row r="51" spans="1:6" x14ac:dyDescent="0.3">
      <c r="A51" s="1">
        <v>6</v>
      </c>
      <c r="B51" s="1">
        <v>4675</v>
      </c>
      <c r="C51" s="1">
        <v>3210</v>
      </c>
      <c r="D51" s="1">
        <v>8030</v>
      </c>
      <c r="E51" s="1">
        <v>1990</v>
      </c>
      <c r="F51" s="3">
        <v>0.36921296296296297</v>
      </c>
    </row>
    <row r="52" spans="1:6" x14ac:dyDescent="0.3">
      <c r="A52" s="1">
        <v>7</v>
      </c>
      <c r="B52" s="1">
        <v>5290</v>
      </c>
      <c r="C52" s="1">
        <v>3630</v>
      </c>
      <c r="D52" s="1">
        <v>9085</v>
      </c>
      <c r="E52" s="1">
        <v>2255</v>
      </c>
      <c r="F52" s="3">
        <v>0.41767361111111112</v>
      </c>
    </row>
    <row r="53" spans="1:6" x14ac:dyDescent="0.3">
      <c r="A53" s="1">
        <v>8</v>
      </c>
      <c r="B53" s="1">
        <v>5885</v>
      </c>
      <c r="C53" s="1">
        <v>4040</v>
      </c>
      <c r="D53" s="1">
        <v>10105</v>
      </c>
      <c r="E53" s="1">
        <v>2505</v>
      </c>
      <c r="F53" s="3">
        <v>0.46475694444444443</v>
      </c>
    </row>
    <row r="54" spans="1:6" x14ac:dyDescent="0.3">
      <c r="A54" s="1">
        <v>9</v>
      </c>
      <c r="B54" s="1">
        <v>6465</v>
      </c>
      <c r="C54" s="1">
        <v>4435</v>
      </c>
      <c r="D54" s="1">
        <v>11105</v>
      </c>
      <c r="E54" s="1">
        <v>2755</v>
      </c>
      <c r="F54" s="3">
        <v>0.51068287037037041</v>
      </c>
    </row>
    <row r="55" spans="1:6" x14ac:dyDescent="0.3">
      <c r="A55" s="1">
        <v>10</v>
      </c>
      <c r="B55" s="1">
        <v>7035</v>
      </c>
      <c r="C55" s="1">
        <v>4825</v>
      </c>
      <c r="D55" s="1">
        <v>12085</v>
      </c>
      <c r="E55" s="1">
        <v>2995</v>
      </c>
      <c r="F55" s="3">
        <v>0.55559027777777781</v>
      </c>
    </row>
    <row r="56" spans="1:6" x14ac:dyDescent="0.3">
      <c r="A56" s="1">
        <v>11</v>
      </c>
      <c r="B56" s="1">
        <v>7595</v>
      </c>
      <c r="C56" s="1">
        <v>5210</v>
      </c>
      <c r="D56" s="1">
        <v>13040</v>
      </c>
      <c r="E56" s="1">
        <v>3235</v>
      </c>
      <c r="F56" s="3">
        <v>0.59961805555555558</v>
      </c>
    </row>
    <row r="57" spans="1:6" x14ac:dyDescent="0.3">
      <c r="A57" s="1">
        <v>12</v>
      </c>
      <c r="B57" s="1">
        <v>8140</v>
      </c>
      <c r="C57" s="1">
        <v>5585</v>
      </c>
      <c r="D57" s="1">
        <v>13980</v>
      </c>
      <c r="E57" s="1">
        <v>3470</v>
      </c>
      <c r="F57" s="3">
        <v>0.6428356481481482</v>
      </c>
    </row>
    <row r="58" spans="1:6" x14ac:dyDescent="0.3">
      <c r="A58" s="1">
        <v>13</v>
      </c>
      <c r="B58" s="1">
        <v>8680</v>
      </c>
      <c r="C58" s="1">
        <v>5955</v>
      </c>
      <c r="D58" s="1">
        <v>14905</v>
      </c>
      <c r="E58" s="1">
        <v>3695</v>
      </c>
      <c r="F58" s="3">
        <v>0.68534722222222222</v>
      </c>
    </row>
    <row r="59" spans="1:6" x14ac:dyDescent="0.3">
      <c r="A59" s="1">
        <v>14</v>
      </c>
      <c r="B59" s="1">
        <v>9210</v>
      </c>
      <c r="C59" s="1">
        <v>6320</v>
      </c>
      <c r="D59" s="1">
        <v>15815</v>
      </c>
      <c r="E59" s="1">
        <v>3925</v>
      </c>
      <c r="F59" s="3">
        <v>0.72721064814814818</v>
      </c>
    </row>
    <row r="60" spans="1:6" x14ac:dyDescent="0.3">
      <c r="A60" s="1">
        <v>15</v>
      </c>
      <c r="B60" s="1">
        <v>9730</v>
      </c>
      <c r="C60" s="1">
        <v>6675</v>
      </c>
      <c r="D60" s="1">
        <v>16715</v>
      </c>
      <c r="E60" s="1">
        <v>4145</v>
      </c>
      <c r="F60" s="3">
        <v>0.76847222222222222</v>
      </c>
    </row>
    <row r="61" spans="1:6" x14ac:dyDescent="0.3">
      <c r="A61" s="1">
        <v>16</v>
      </c>
      <c r="B61" s="1">
        <v>10245</v>
      </c>
      <c r="C61" s="1">
        <v>7030</v>
      </c>
      <c r="D61" s="1">
        <v>17600</v>
      </c>
      <c r="E61" s="1">
        <v>4365</v>
      </c>
      <c r="F61" s="3">
        <v>0.80918981481481478</v>
      </c>
    </row>
    <row r="62" spans="1:6" x14ac:dyDescent="0.3">
      <c r="A62" s="1">
        <v>17</v>
      </c>
      <c r="B62" s="1">
        <v>10755</v>
      </c>
      <c r="C62" s="1">
        <v>7380</v>
      </c>
      <c r="D62" s="1">
        <v>18475</v>
      </c>
      <c r="E62" s="1">
        <v>4580</v>
      </c>
      <c r="F62" s="3">
        <v>0.84940972222222222</v>
      </c>
    </row>
    <row r="63" spans="1:6" x14ac:dyDescent="0.3">
      <c r="A63" s="1">
        <v>18</v>
      </c>
      <c r="B63" s="1">
        <v>11260</v>
      </c>
      <c r="C63" s="1">
        <v>7725</v>
      </c>
      <c r="D63" s="1">
        <v>19335</v>
      </c>
      <c r="E63" s="1">
        <v>4795</v>
      </c>
      <c r="F63" s="3">
        <v>0.88915509259259262</v>
      </c>
    </row>
    <row r="64" spans="1:6" x14ac:dyDescent="0.3">
      <c r="A64" s="1">
        <v>19</v>
      </c>
      <c r="B64" s="1">
        <v>11755</v>
      </c>
      <c r="C64" s="1">
        <v>8065</v>
      </c>
      <c r="D64" s="1">
        <v>20190</v>
      </c>
      <c r="E64" s="1">
        <v>5010</v>
      </c>
      <c r="F64" s="3">
        <v>0.92844907407407407</v>
      </c>
    </row>
    <row r="65" spans="1:6" x14ac:dyDescent="0.3">
      <c r="A65" s="1">
        <v>20</v>
      </c>
      <c r="B65" s="1">
        <v>12250</v>
      </c>
      <c r="C65" s="1">
        <v>8405</v>
      </c>
      <c r="D65" s="1">
        <v>21035</v>
      </c>
      <c r="E65" s="1">
        <v>5220</v>
      </c>
      <c r="F65" s="3">
        <v>0.96733796296296293</v>
      </c>
    </row>
    <row r="67" spans="1:6" x14ac:dyDescent="0.3">
      <c r="A67" t="s">
        <v>139</v>
      </c>
      <c r="B67" t="s">
        <v>17</v>
      </c>
      <c r="C67" t="s">
        <v>18</v>
      </c>
      <c r="D67" t="s">
        <v>19</v>
      </c>
      <c r="E67" t="s">
        <v>20</v>
      </c>
      <c r="F67" t="s">
        <v>22</v>
      </c>
    </row>
    <row r="68" spans="1:6" x14ac:dyDescent="0.3">
      <c r="A68" s="1">
        <v>1</v>
      </c>
      <c r="B68" s="1">
        <v>1010</v>
      </c>
      <c r="C68" s="1">
        <v>1500</v>
      </c>
      <c r="D68" s="1">
        <v>3000</v>
      </c>
      <c r="E68" s="1">
        <v>615</v>
      </c>
      <c r="F68" s="3">
        <v>9.4166666666666662E-2</v>
      </c>
    </row>
    <row r="69" spans="1:6" x14ac:dyDescent="0.3">
      <c r="A69" s="1">
        <v>2</v>
      </c>
      <c r="B69" s="1">
        <v>1760</v>
      </c>
      <c r="C69" s="1">
        <v>2610</v>
      </c>
      <c r="D69" s="1">
        <v>5225</v>
      </c>
      <c r="E69" s="1">
        <v>1070</v>
      </c>
      <c r="F69" s="3">
        <v>0.16395833333333334</v>
      </c>
    </row>
    <row r="70" spans="1:6" x14ac:dyDescent="0.3">
      <c r="A70" s="1">
        <v>3</v>
      </c>
      <c r="B70" s="1">
        <v>2430</v>
      </c>
      <c r="C70" s="1">
        <v>3610</v>
      </c>
      <c r="D70" s="1">
        <v>7225</v>
      </c>
      <c r="E70" s="1">
        <v>1480</v>
      </c>
      <c r="F70" s="3">
        <v>0.22677083333333334</v>
      </c>
    </row>
    <row r="71" spans="1:6" x14ac:dyDescent="0.3">
      <c r="A71" s="1">
        <v>4</v>
      </c>
      <c r="B71" s="1">
        <v>3060</v>
      </c>
      <c r="C71" s="1">
        <v>4545</v>
      </c>
      <c r="D71" s="1">
        <v>9095</v>
      </c>
      <c r="E71" s="1">
        <v>1865</v>
      </c>
      <c r="F71" s="3">
        <v>0.28546296296296297</v>
      </c>
    </row>
    <row r="72" spans="1:6" x14ac:dyDescent="0.3">
      <c r="A72" s="1">
        <v>5</v>
      </c>
      <c r="B72" s="1">
        <v>3660</v>
      </c>
      <c r="C72" s="1">
        <v>5435</v>
      </c>
      <c r="D72" s="1">
        <v>10870</v>
      </c>
      <c r="E72" s="1">
        <v>2230</v>
      </c>
      <c r="F72" s="3">
        <v>0.34125</v>
      </c>
    </row>
    <row r="73" spans="1:6" x14ac:dyDescent="0.3">
      <c r="A73" s="1">
        <v>6</v>
      </c>
      <c r="B73" s="1">
        <v>4235</v>
      </c>
      <c r="C73" s="1">
        <v>6290</v>
      </c>
      <c r="D73" s="1">
        <v>12580</v>
      </c>
      <c r="E73" s="1">
        <v>2580</v>
      </c>
      <c r="F73" s="3">
        <v>0.39483796296296297</v>
      </c>
    </row>
    <row r="74" spans="1:6" x14ac:dyDescent="0.3">
      <c r="A74" s="1">
        <v>7</v>
      </c>
      <c r="B74" s="1">
        <v>4790</v>
      </c>
      <c r="C74" s="1">
        <v>7115</v>
      </c>
      <c r="D74" s="1">
        <v>14230</v>
      </c>
      <c r="E74" s="1">
        <v>2915</v>
      </c>
      <c r="F74" s="3">
        <v>0.44665509259259262</v>
      </c>
    </row>
    <row r="75" spans="1:6" x14ac:dyDescent="0.3">
      <c r="A75" s="1">
        <v>8</v>
      </c>
      <c r="B75" s="1">
        <v>5330</v>
      </c>
      <c r="C75" s="1">
        <v>7915</v>
      </c>
      <c r="D75" s="1">
        <v>15835</v>
      </c>
      <c r="E75" s="1">
        <v>3245</v>
      </c>
      <c r="F75" s="3">
        <v>0.49701388888888887</v>
      </c>
    </row>
    <row r="76" spans="1:6" x14ac:dyDescent="0.3">
      <c r="A76" s="1">
        <v>9</v>
      </c>
      <c r="B76" s="1">
        <v>5860</v>
      </c>
      <c r="C76" s="1">
        <v>8700</v>
      </c>
      <c r="D76" s="1">
        <v>17400</v>
      </c>
      <c r="E76" s="1">
        <v>3565</v>
      </c>
      <c r="F76" s="3">
        <v>0.54612268518518514</v>
      </c>
    </row>
    <row r="77" spans="1:6" x14ac:dyDescent="0.3">
      <c r="A77" s="1">
        <v>10</v>
      </c>
      <c r="B77" s="1">
        <v>6375</v>
      </c>
      <c r="C77" s="1">
        <v>9465</v>
      </c>
      <c r="D77" s="1">
        <v>18930</v>
      </c>
      <c r="E77" s="1">
        <v>3880</v>
      </c>
      <c r="F77" s="3">
        <v>0.59415509259259258</v>
      </c>
    </row>
    <row r="78" spans="1:6" x14ac:dyDescent="0.3">
      <c r="A78" s="1">
        <v>11</v>
      </c>
      <c r="B78" s="1">
        <v>6880</v>
      </c>
      <c r="C78" s="1">
        <v>10215</v>
      </c>
      <c r="D78" s="1">
        <v>20430</v>
      </c>
      <c r="E78" s="1">
        <v>4190</v>
      </c>
      <c r="F78" s="3">
        <v>0.6412268518518518</v>
      </c>
    </row>
    <row r="79" spans="1:6" x14ac:dyDescent="0.3">
      <c r="A79" s="1">
        <v>12</v>
      </c>
      <c r="B79" s="1">
        <v>7375</v>
      </c>
      <c r="C79" s="1">
        <v>10950</v>
      </c>
      <c r="D79" s="1">
        <v>21900</v>
      </c>
      <c r="E79" s="1">
        <v>4490</v>
      </c>
      <c r="F79" s="3">
        <v>0.68745370370370373</v>
      </c>
    </row>
    <row r="80" spans="1:6" x14ac:dyDescent="0.3">
      <c r="A80" s="1">
        <v>13</v>
      </c>
      <c r="B80" s="1">
        <v>7860</v>
      </c>
      <c r="C80" s="1">
        <v>11675</v>
      </c>
      <c r="D80" s="1">
        <v>23350</v>
      </c>
      <c r="E80" s="1">
        <v>4785</v>
      </c>
      <c r="F80" s="3">
        <v>0.73291666666666666</v>
      </c>
    </row>
    <row r="81" spans="1:6" x14ac:dyDescent="0.3">
      <c r="A81" s="1">
        <v>14</v>
      </c>
      <c r="B81" s="1">
        <v>8340</v>
      </c>
      <c r="C81" s="1">
        <v>12390</v>
      </c>
      <c r="D81" s="1">
        <v>24775</v>
      </c>
      <c r="E81" s="1">
        <v>5080</v>
      </c>
      <c r="F81" s="3">
        <v>0.77767361111111111</v>
      </c>
    </row>
    <row r="82" spans="1:6" x14ac:dyDescent="0.3">
      <c r="A82" s="1">
        <v>15</v>
      </c>
      <c r="B82" s="1">
        <v>8815</v>
      </c>
      <c r="C82" s="1">
        <v>13090</v>
      </c>
      <c r="D82" s="1">
        <v>26180</v>
      </c>
      <c r="E82" s="1">
        <v>5365</v>
      </c>
      <c r="F82" s="3">
        <v>0.82180555555555557</v>
      </c>
    </row>
    <row r="83" spans="1:6" x14ac:dyDescent="0.3">
      <c r="A83" s="1">
        <v>16</v>
      </c>
      <c r="B83" s="1">
        <v>9280</v>
      </c>
      <c r="C83" s="1">
        <v>13785</v>
      </c>
      <c r="D83" s="1">
        <v>27570</v>
      </c>
      <c r="E83" s="1">
        <v>5650</v>
      </c>
      <c r="F83" s="3">
        <v>0.86534722222222227</v>
      </c>
    </row>
    <row r="84" spans="1:6" x14ac:dyDescent="0.3">
      <c r="A84" s="1">
        <v>17</v>
      </c>
      <c r="B84" s="1">
        <v>9745</v>
      </c>
      <c r="C84" s="1">
        <v>14470</v>
      </c>
      <c r="D84" s="1">
        <v>28940</v>
      </c>
      <c r="E84" s="1">
        <v>5930</v>
      </c>
      <c r="F84" s="3">
        <v>0.90835648148148151</v>
      </c>
    </row>
    <row r="85" spans="1:6" x14ac:dyDescent="0.3">
      <c r="A85" s="1">
        <v>18</v>
      </c>
      <c r="B85" s="1">
        <v>10200</v>
      </c>
      <c r="C85" s="1">
        <v>15145</v>
      </c>
      <c r="D85" s="1">
        <v>30295</v>
      </c>
      <c r="E85" s="1">
        <v>6210</v>
      </c>
      <c r="F85" s="3">
        <v>0.9508564814814815</v>
      </c>
    </row>
    <row r="86" spans="1:6" x14ac:dyDescent="0.3">
      <c r="A86" s="1">
        <v>19</v>
      </c>
      <c r="B86" s="1">
        <v>10650</v>
      </c>
      <c r="C86" s="1">
        <v>15815</v>
      </c>
      <c r="D86" s="1">
        <v>31630</v>
      </c>
      <c r="E86" s="1">
        <v>6485</v>
      </c>
      <c r="F86" s="3">
        <v>0.99288194444444444</v>
      </c>
    </row>
    <row r="87" spans="1:6" x14ac:dyDescent="0.3">
      <c r="A87" s="1">
        <v>20</v>
      </c>
      <c r="B87" s="1">
        <v>11095</v>
      </c>
      <c r="C87" s="1">
        <v>16480</v>
      </c>
      <c r="D87" s="1">
        <v>32955</v>
      </c>
      <c r="E87" s="1">
        <v>6755</v>
      </c>
      <c r="F87" s="4">
        <v>1.0344791666666666</v>
      </c>
    </row>
    <row r="89" spans="1:6" x14ac:dyDescent="0.3">
      <c r="A89" t="s">
        <v>138</v>
      </c>
      <c r="B89" t="s">
        <v>17</v>
      </c>
      <c r="C89" t="s">
        <v>18</v>
      </c>
      <c r="D89" t="s">
        <v>19</v>
      </c>
      <c r="E89" t="s">
        <v>20</v>
      </c>
      <c r="F89" t="s">
        <v>22</v>
      </c>
    </row>
    <row r="90" spans="1:6" x14ac:dyDescent="0.3">
      <c r="A90" s="1">
        <v>1</v>
      </c>
      <c r="B90" s="1">
        <v>1995</v>
      </c>
      <c r="C90" s="1">
        <v>1610</v>
      </c>
      <c r="D90" s="1">
        <v>1255</v>
      </c>
      <c r="E90" s="1">
        <v>465</v>
      </c>
      <c r="F90" s="3">
        <v>0.11861111111111111</v>
      </c>
    </row>
    <row r="91" spans="1:6" x14ac:dyDescent="0.3">
      <c r="A91" s="1">
        <v>2</v>
      </c>
      <c r="B91" s="1">
        <v>3470</v>
      </c>
      <c r="C91" s="1">
        <v>2800</v>
      </c>
      <c r="D91" s="1">
        <v>2185</v>
      </c>
      <c r="E91" s="1">
        <v>810</v>
      </c>
      <c r="F91" s="3">
        <v>0.20651620370370372</v>
      </c>
    </row>
    <row r="92" spans="1:6" x14ac:dyDescent="0.3">
      <c r="A92" s="1">
        <v>3</v>
      </c>
      <c r="B92" s="1">
        <v>4800</v>
      </c>
      <c r="C92" s="1">
        <v>3870</v>
      </c>
      <c r="D92" s="1">
        <v>3020</v>
      </c>
      <c r="E92" s="1">
        <v>1120</v>
      </c>
      <c r="F92" s="3">
        <v>0.28563657407407406</v>
      </c>
    </row>
    <row r="93" spans="1:6" x14ac:dyDescent="0.3">
      <c r="A93" s="1">
        <v>4</v>
      </c>
      <c r="B93" s="1">
        <v>6040</v>
      </c>
      <c r="C93" s="1">
        <v>4875</v>
      </c>
      <c r="D93" s="1">
        <v>3805</v>
      </c>
      <c r="E93" s="1">
        <v>1410</v>
      </c>
      <c r="F93" s="3">
        <v>0.35956018518518518</v>
      </c>
    </row>
    <row r="94" spans="1:6" x14ac:dyDescent="0.3">
      <c r="A94" s="1">
        <v>5</v>
      </c>
      <c r="B94" s="1">
        <v>7220</v>
      </c>
      <c r="C94" s="1">
        <v>5825</v>
      </c>
      <c r="D94" s="1">
        <v>4550</v>
      </c>
      <c r="E94" s="1">
        <v>1685</v>
      </c>
      <c r="F94" s="3">
        <v>0.42983796296296295</v>
      </c>
    </row>
    <row r="95" spans="1:6" x14ac:dyDescent="0.3">
      <c r="A95" s="1">
        <v>6</v>
      </c>
      <c r="B95" s="1">
        <v>8355</v>
      </c>
      <c r="C95" s="1">
        <v>6740</v>
      </c>
      <c r="D95" s="1">
        <v>5260</v>
      </c>
      <c r="E95" s="1">
        <v>1950</v>
      </c>
      <c r="F95" s="3">
        <v>0.49732638888888892</v>
      </c>
    </row>
    <row r="96" spans="1:6" x14ac:dyDescent="0.3">
      <c r="A96" s="1">
        <v>7</v>
      </c>
      <c r="B96" s="1">
        <v>9450</v>
      </c>
      <c r="C96" s="1">
        <v>7625</v>
      </c>
      <c r="D96" s="1">
        <v>5955</v>
      </c>
      <c r="E96" s="1">
        <v>2205</v>
      </c>
      <c r="F96" s="3">
        <v>0.56260416666666668</v>
      </c>
    </row>
    <row r="97" spans="1:6" x14ac:dyDescent="0.3">
      <c r="A97" s="1">
        <v>8</v>
      </c>
      <c r="B97" s="1">
        <v>10515</v>
      </c>
      <c r="C97" s="1">
        <v>8485</v>
      </c>
      <c r="D97" s="1">
        <v>6625</v>
      </c>
      <c r="E97" s="1">
        <v>2455</v>
      </c>
      <c r="F97" s="3">
        <v>0.62603009259259257</v>
      </c>
    </row>
    <row r="98" spans="1:6" x14ac:dyDescent="0.3">
      <c r="A98" s="1">
        <v>9</v>
      </c>
      <c r="B98" s="1">
        <v>11555</v>
      </c>
      <c r="C98" s="1">
        <v>9325</v>
      </c>
      <c r="D98" s="1">
        <v>7280</v>
      </c>
      <c r="E98" s="1">
        <v>2695</v>
      </c>
      <c r="F98" s="3">
        <v>0.68789351851851854</v>
      </c>
    </row>
    <row r="99" spans="1:6" x14ac:dyDescent="0.3">
      <c r="A99" s="1">
        <v>10</v>
      </c>
      <c r="B99" s="1">
        <v>12570</v>
      </c>
      <c r="C99" s="1">
        <v>10145</v>
      </c>
      <c r="D99" s="1">
        <v>7920</v>
      </c>
      <c r="E99" s="1">
        <v>2935</v>
      </c>
      <c r="F99" s="3">
        <v>0.74839120370370371</v>
      </c>
    </row>
    <row r="100" spans="1:6" x14ac:dyDescent="0.3">
      <c r="A100" s="1">
        <v>11</v>
      </c>
      <c r="B100" s="1">
        <v>13570</v>
      </c>
      <c r="C100" s="1">
        <v>10945</v>
      </c>
      <c r="D100" s="1">
        <v>8545</v>
      </c>
      <c r="E100" s="1">
        <v>3165</v>
      </c>
      <c r="F100" s="3">
        <v>0.80768518518518517</v>
      </c>
    </row>
    <row r="101" spans="1:6" x14ac:dyDescent="0.3">
      <c r="A101" s="1">
        <v>12</v>
      </c>
      <c r="B101" s="1">
        <v>14545</v>
      </c>
      <c r="C101" s="1">
        <v>11735</v>
      </c>
      <c r="D101" s="1">
        <v>9160</v>
      </c>
      <c r="E101" s="1">
        <v>3395</v>
      </c>
      <c r="F101" s="3">
        <v>0.8659027777777778</v>
      </c>
    </row>
    <row r="102" spans="1:6" x14ac:dyDescent="0.3">
      <c r="A102" s="1">
        <v>13</v>
      </c>
      <c r="B102" s="1">
        <v>15510</v>
      </c>
      <c r="C102" s="1">
        <v>12510</v>
      </c>
      <c r="D102" s="1">
        <v>9770</v>
      </c>
      <c r="E102" s="1">
        <v>3620</v>
      </c>
      <c r="F102" s="3">
        <v>0.92317129629629635</v>
      </c>
    </row>
    <row r="103" spans="1:6" x14ac:dyDescent="0.3">
      <c r="A103" s="1">
        <v>14</v>
      </c>
      <c r="B103" s="1">
        <v>16455</v>
      </c>
      <c r="C103" s="1">
        <v>13275</v>
      </c>
      <c r="D103" s="1">
        <v>10365</v>
      </c>
      <c r="E103" s="1">
        <v>3840</v>
      </c>
      <c r="F103" s="3">
        <v>0.97954861111111113</v>
      </c>
    </row>
    <row r="104" spans="1:6" x14ac:dyDescent="0.3">
      <c r="A104" s="1">
        <v>15</v>
      </c>
      <c r="B104" s="1">
        <v>17390</v>
      </c>
      <c r="C104" s="1">
        <v>14030</v>
      </c>
      <c r="D104" s="1">
        <v>10955</v>
      </c>
      <c r="E104" s="1">
        <v>4060</v>
      </c>
      <c r="F104" s="4">
        <v>1.0351388888888888</v>
      </c>
    </row>
    <row r="105" spans="1:6" x14ac:dyDescent="0.3">
      <c r="A105" s="1">
        <v>16</v>
      </c>
      <c r="B105" s="1">
        <v>18310</v>
      </c>
      <c r="C105" s="1">
        <v>14770</v>
      </c>
      <c r="D105" s="1">
        <v>11535</v>
      </c>
      <c r="E105" s="1">
        <v>4275</v>
      </c>
      <c r="F105" s="4">
        <v>1.0899884259259258</v>
      </c>
    </row>
    <row r="106" spans="1:6" x14ac:dyDescent="0.3">
      <c r="A106" s="1">
        <v>17</v>
      </c>
      <c r="B106" s="1">
        <v>19220</v>
      </c>
      <c r="C106" s="1">
        <v>15505</v>
      </c>
      <c r="D106" s="1">
        <v>12105</v>
      </c>
      <c r="E106" s="1">
        <v>4485</v>
      </c>
      <c r="F106" s="4">
        <v>1.1441550925925925</v>
      </c>
    </row>
    <row r="107" spans="1:6" x14ac:dyDescent="0.3">
      <c r="A107" s="1">
        <v>18</v>
      </c>
      <c r="B107" s="1">
        <v>20120</v>
      </c>
      <c r="C107" s="1">
        <v>16230</v>
      </c>
      <c r="D107" s="1">
        <v>12670</v>
      </c>
      <c r="E107" s="1">
        <v>4695</v>
      </c>
      <c r="F107" s="4">
        <v>1.1976851851851851</v>
      </c>
    </row>
    <row r="108" spans="1:6" x14ac:dyDescent="0.3">
      <c r="A108" s="1">
        <v>19</v>
      </c>
      <c r="B108" s="1">
        <v>21010</v>
      </c>
      <c r="C108" s="1">
        <v>16950</v>
      </c>
      <c r="D108" s="1">
        <v>13235</v>
      </c>
      <c r="E108" s="1">
        <v>4905</v>
      </c>
      <c r="F108" s="4">
        <v>1.2506250000000001</v>
      </c>
    </row>
    <row r="109" spans="1:6" x14ac:dyDescent="0.3">
      <c r="A109" s="1">
        <v>20</v>
      </c>
      <c r="B109" s="1">
        <v>21890</v>
      </c>
      <c r="C109" s="1">
        <v>17660</v>
      </c>
      <c r="D109" s="1">
        <v>13785</v>
      </c>
      <c r="E109" s="1">
        <v>5110</v>
      </c>
      <c r="F109" s="4">
        <v>1.3030092592592593</v>
      </c>
    </row>
    <row r="111" spans="1:6" x14ac:dyDescent="0.3">
      <c r="A111" t="s">
        <v>137</v>
      </c>
      <c r="B111" t="s">
        <v>17</v>
      </c>
      <c r="C111" t="s">
        <v>18</v>
      </c>
      <c r="D111" t="s">
        <v>19</v>
      </c>
      <c r="E111" t="s">
        <v>20</v>
      </c>
      <c r="F111" t="s">
        <v>22</v>
      </c>
    </row>
    <row r="112" spans="1:6" x14ac:dyDescent="0.3">
      <c r="A112" s="1">
        <v>1</v>
      </c>
      <c r="B112" s="1">
        <v>1575</v>
      </c>
      <c r="C112" s="1">
        <v>1190</v>
      </c>
      <c r="D112" s="1">
        <v>2390</v>
      </c>
      <c r="E112" s="1">
        <v>440</v>
      </c>
      <c r="F112" s="3">
        <v>0.14000000000000001</v>
      </c>
    </row>
    <row r="113" spans="1:6" x14ac:dyDescent="0.3">
      <c r="A113" s="1">
        <v>2</v>
      </c>
      <c r="B113" s="1">
        <v>2740</v>
      </c>
      <c r="C113" s="1">
        <v>2070</v>
      </c>
      <c r="D113" s="1">
        <v>4160</v>
      </c>
      <c r="E113" s="1">
        <v>765</v>
      </c>
      <c r="F113" s="3">
        <v>0.24374999999999999</v>
      </c>
    </row>
    <row r="114" spans="1:6" x14ac:dyDescent="0.3">
      <c r="A114" s="1">
        <v>3</v>
      </c>
      <c r="B114" s="1">
        <v>3790</v>
      </c>
      <c r="C114" s="1">
        <v>2860</v>
      </c>
      <c r="D114" s="1">
        <v>5750</v>
      </c>
      <c r="E114" s="1">
        <v>1055</v>
      </c>
      <c r="F114" s="3">
        <v>0.3371527777777778</v>
      </c>
    </row>
    <row r="115" spans="1:6" x14ac:dyDescent="0.3">
      <c r="A115" s="1">
        <v>4</v>
      </c>
      <c r="B115" s="1">
        <v>4770</v>
      </c>
      <c r="C115" s="1">
        <v>3600</v>
      </c>
      <c r="D115" s="1">
        <v>7240</v>
      </c>
      <c r="E115" s="1">
        <v>1330</v>
      </c>
      <c r="F115" s="3">
        <v>0.42439814814814814</v>
      </c>
    </row>
    <row r="116" spans="1:6" x14ac:dyDescent="0.3">
      <c r="A116" s="1">
        <v>5</v>
      </c>
      <c r="B116" s="1">
        <v>5700</v>
      </c>
      <c r="C116" s="1">
        <v>4305</v>
      </c>
      <c r="D116" s="1">
        <v>8655</v>
      </c>
      <c r="E116" s="1">
        <v>1590</v>
      </c>
      <c r="F116" s="3">
        <v>0.507349537037037</v>
      </c>
    </row>
    <row r="117" spans="1:6" x14ac:dyDescent="0.3">
      <c r="A117" s="1">
        <v>6</v>
      </c>
      <c r="B117" s="1">
        <v>6595</v>
      </c>
      <c r="C117" s="1">
        <v>4985</v>
      </c>
      <c r="D117" s="1">
        <v>10015</v>
      </c>
      <c r="E117" s="1">
        <v>1840</v>
      </c>
      <c r="F117" s="3">
        <v>0.58701388888888884</v>
      </c>
    </row>
    <row r="118" spans="1:6" x14ac:dyDescent="0.3">
      <c r="A118" s="1">
        <v>7</v>
      </c>
      <c r="B118" s="1">
        <v>7465</v>
      </c>
      <c r="C118" s="1">
        <v>5635</v>
      </c>
      <c r="D118" s="1">
        <v>11330</v>
      </c>
      <c r="E118" s="1">
        <v>2080</v>
      </c>
      <c r="F118" s="3">
        <v>0.6640625</v>
      </c>
    </row>
    <row r="119" spans="1:6" x14ac:dyDescent="0.3">
      <c r="A119" s="1">
        <v>8</v>
      </c>
      <c r="B119" s="1">
        <v>8305</v>
      </c>
      <c r="C119" s="1">
        <v>6270</v>
      </c>
      <c r="D119" s="1">
        <v>12605</v>
      </c>
      <c r="E119" s="1">
        <v>2315</v>
      </c>
      <c r="F119" s="3">
        <v>0.73892361111111116</v>
      </c>
    </row>
    <row r="120" spans="1:6" x14ac:dyDescent="0.3">
      <c r="A120" s="1">
        <v>9</v>
      </c>
      <c r="B120" s="1">
        <v>9125</v>
      </c>
      <c r="C120" s="1">
        <v>6890</v>
      </c>
      <c r="D120" s="1">
        <v>13850</v>
      </c>
      <c r="E120" s="1">
        <v>2540</v>
      </c>
      <c r="F120" s="3">
        <v>0.81193287037037032</v>
      </c>
    </row>
    <row r="121" spans="1:6" x14ac:dyDescent="0.3">
      <c r="A121" s="1">
        <v>10</v>
      </c>
      <c r="B121" s="1">
        <v>9925</v>
      </c>
      <c r="C121" s="1">
        <v>7500</v>
      </c>
      <c r="D121" s="1">
        <v>15070</v>
      </c>
      <c r="E121" s="1">
        <v>2765</v>
      </c>
      <c r="F121" s="3">
        <v>0.88334490740740745</v>
      </c>
    </row>
    <row r="122" spans="1:6" x14ac:dyDescent="0.3">
      <c r="A122" s="1">
        <v>11</v>
      </c>
      <c r="B122" s="1">
        <v>10715</v>
      </c>
      <c r="C122" s="1">
        <v>8090</v>
      </c>
      <c r="D122" s="1">
        <v>16265</v>
      </c>
      <c r="E122" s="1">
        <v>2985</v>
      </c>
      <c r="F122" s="3">
        <v>0.95333333333333337</v>
      </c>
    </row>
    <row r="123" spans="1:6" x14ac:dyDescent="0.3">
      <c r="A123" s="1">
        <v>12</v>
      </c>
      <c r="B123" s="1">
        <v>11485</v>
      </c>
      <c r="C123" s="1">
        <v>8675</v>
      </c>
      <c r="D123" s="1">
        <v>17435</v>
      </c>
      <c r="E123" s="1">
        <v>3200</v>
      </c>
      <c r="F123" s="4">
        <v>1.0220486111111111</v>
      </c>
    </row>
    <row r="124" spans="1:6" x14ac:dyDescent="0.3">
      <c r="A124" s="1">
        <v>13</v>
      </c>
      <c r="B124" s="1">
        <v>12245</v>
      </c>
      <c r="C124" s="1">
        <v>9250</v>
      </c>
      <c r="D124" s="1">
        <v>18590</v>
      </c>
      <c r="E124" s="1">
        <v>3410</v>
      </c>
      <c r="F124" s="4">
        <v>1.0896412037037038</v>
      </c>
    </row>
    <row r="125" spans="1:6" x14ac:dyDescent="0.3">
      <c r="A125" s="1">
        <v>14</v>
      </c>
      <c r="B125" s="1">
        <v>12995</v>
      </c>
      <c r="C125" s="1">
        <v>9815</v>
      </c>
      <c r="D125" s="1">
        <v>19725</v>
      </c>
      <c r="E125" s="1">
        <v>3620</v>
      </c>
      <c r="F125" s="4">
        <v>1.1561921296296296</v>
      </c>
    </row>
    <row r="126" spans="1:6" x14ac:dyDescent="0.3">
      <c r="A126" s="1">
        <v>15</v>
      </c>
      <c r="B126" s="1">
        <v>13730</v>
      </c>
      <c r="C126" s="1">
        <v>10370</v>
      </c>
      <c r="D126" s="1">
        <v>20845</v>
      </c>
      <c r="E126" s="1">
        <v>3825</v>
      </c>
      <c r="F126" s="4">
        <v>1.2218055555555556</v>
      </c>
    </row>
    <row r="127" spans="1:6" x14ac:dyDescent="0.3">
      <c r="A127" s="1">
        <v>16</v>
      </c>
      <c r="B127" s="1">
        <v>14460</v>
      </c>
      <c r="C127" s="1">
        <v>10920</v>
      </c>
      <c r="D127" s="1">
        <v>21950</v>
      </c>
      <c r="E127" s="1">
        <v>4030</v>
      </c>
      <c r="F127" s="4">
        <v>1.2865393518518518</v>
      </c>
    </row>
    <row r="128" spans="1:6" x14ac:dyDescent="0.3">
      <c r="A128" s="1">
        <v>17</v>
      </c>
      <c r="B128" s="1">
        <v>15175</v>
      </c>
      <c r="C128" s="1">
        <v>11465</v>
      </c>
      <c r="D128" s="1">
        <v>23040</v>
      </c>
      <c r="E128" s="1">
        <v>4230</v>
      </c>
      <c r="F128" s="4">
        <v>1.350474537037037</v>
      </c>
    </row>
    <row r="129" spans="1:6" x14ac:dyDescent="0.3">
      <c r="A129" s="1">
        <v>18</v>
      </c>
      <c r="B129" s="1">
        <v>15885</v>
      </c>
      <c r="C129" s="1">
        <v>12000</v>
      </c>
      <c r="D129" s="1">
        <v>24115</v>
      </c>
      <c r="E129" s="1">
        <v>4425</v>
      </c>
      <c r="F129" s="4">
        <v>1.4136689814814816</v>
      </c>
    </row>
    <row r="130" spans="1:6" x14ac:dyDescent="0.3">
      <c r="A130" s="1">
        <v>19</v>
      </c>
      <c r="B130" s="1">
        <v>16590</v>
      </c>
      <c r="C130" s="1">
        <v>12530</v>
      </c>
      <c r="D130" s="1">
        <v>25180</v>
      </c>
      <c r="E130" s="1">
        <v>4620</v>
      </c>
      <c r="F130" s="4">
        <v>1.4761458333333333</v>
      </c>
    </row>
    <row r="131" spans="1:6" x14ac:dyDescent="0.3">
      <c r="A131" s="1">
        <v>20</v>
      </c>
      <c r="B131" s="1">
        <v>17285</v>
      </c>
      <c r="C131" s="1">
        <v>13055</v>
      </c>
      <c r="D131" s="1">
        <v>26235</v>
      </c>
      <c r="E131" s="1">
        <v>4815</v>
      </c>
      <c r="F131" s="4">
        <v>1.5379861111111111</v>
      </c>
    </row>
    <row r="133" spans="1:6" x14ac:dyDescent="0.3">
      <c r="A133" t="s">
        <v>136</v>
      </c>
      <c r="B133" t="s">
        <v>17</v>
      </c>
      <c r="C133" t="s">
        <v>18</v>
      </c>
      <c r="D133" t="s">
        <v>19</v>
      </c>
      <c r="E133" t="s">
        <v>20</v>
      </c>
      <c r="F133" t="s">
        <v>22</v>
      </c>
    </row>
    <row r="134" spans="1:6" x14ac:dyDescent="0.3">
      <c r="A134" s="1">
        <v>1</v>
      </c>
      <c r="B134" s="1">
        <v>1260</v>
      </c>
      <c r="C134" s="1">
        <v>640</v>
      </c>
      <c r="D134" s="1">
        <v>1910</v>
      </c>
      <c r="E134" s="1">
        <v>355</v>
      </c>
      <c r="F134" s="3">
        <v>0.18124999999999999</v>
      </c>
    </row>
    <row r="135" spans="1:6" x14ac:dyDescent="0.3">
      <c r="A135" s="1">
        <v>2</v>
      </c>
      <c r="B135" s="1">
        <v>2190</v>
      </c>
      <c r="C135" s="1">
        <v>1115</v>
      </c>
      <c r="D135" s="1">
        <v>3325</v>
      </c>
      <c r="E135" s="1">
        <v>620</v>
      </c>
      <c r="F135" s="3">
        <v>0.31557870370370372</v>
      </c>
    </row>
    <row r="136" spans="1:6" x14ac:dyDescent="0.3">
      <c r="A136" s="1">
        <v>3</v>
      </c>
      <c r="B136" s="1">
        <v>3030</v>
      </c>
      <c r="C136" s="1">
        <v>1540</v>
      </c>
      <c r="D136" s="1">
        <v>4600</v>
      </c>
      <c r="E136" s="1">
        <v>860</v>
      </c>
      <c r="F136" s="3">
        <v>0.43649305555555556</v>
      </c>
    </row>
    <row r="137" spans="1:6" x14ac:dyDescent="0.3">
      <c r="A137" s="1">
        <v>4</v>
      </c>
      <c r="B137" s="1">
        <v>3815</v>
      </c>
      <c r="C137" s="1">
        <v>1940</v>
      </c>
      <c r="D137" s="1">
        <v>5790</v>
      </c>
      <c r="E137" s="1">
        <v>1080</v>
      </c>
      <c r="F137" s="3">
        <v>0.5494444444444444</v>
      </c>
    </row>
    <row r="138" spans="1:6" x14ac:dyDescent="0.3">
      <c r="A138" s="1">
        <v>5</v>
      </c>
      <c r="B138" s="1">
        <v>4560</v>
      </c>
      <c r="C138" s="1">
        <v>2320</v>
      </c>
      <c r="D138" s="1">
        <v>6920</v>
      </c>
      <c r="E138" s="1">
        <v>1295</v>
      </c>
      <c r="F138" s="3">
        <v>0.65682870370370372</v>
      </c>
    </row>
    <row r="139" spans="1:6" x14ac:dyDescent="0.3">
      <c r="A139" s="1">
        <v>6</v>
      </c>
      <c r="B139" s="1">
        <v>5275</v>
      </c>
      <c r="C139" s="1">
        <v>2685</v>
      </c>
      <c r="D139" s="1">
        <v>8010</v>
      </c>
      <c r="E139" s="1">
        <v>1495</v>
      </c>
      <c r="F139" s="3">
        <v>0.75997685185185182</v>
      </c>
    </row>
    <row r="140" spans="1:6" x14ac:dyDescent="0.3">
      <c r="A140" s="1">
        <v>7</v>
      </c>
      <c r="B140" s="1">
        <v>5970</v>
      </c>
      <c r="C140" s="1">
        <v>3035</v>
      </c>
      <c r="D140" s="1">
        <v>9060</v>
      </c>
      <c r="E140" s="1">
        <v>1690</v>
      </c>
      <c r="F140" s="3">
        <v>0.85972222222222228</v>
      </c>
    </row>
    <row r="141" spans="1:6" x14ac:dyDescent="0.3">
      <c r="A141" s="1">
        <v>8</v>
      </c>
      <c r="B141" s="1">
        <v>6640</v>
      </c>
      <c r="C141" s="1">
        <v>3380</v>
      </c>
      <c r="D141" s="1">
        <v>10080</v>
      </c>
      <c r="E141" s="1">
        <v>1880</v>
      </c>
      <c r="F141" s="3">
        <v>0.95664351851851848</v>
      </c>
    </row>
    <row r="142" spans="1:6" x14ac:dyDescent="0.3">
      <c r="A142" s="1">
        <v>9</v>
      </c>
      <c r="B142" s="1">
        <v>7300</v>
      </c>
      <c r="C142" s="1">
        <v>3710</v>
      </c>
      <c r="D142" s="1">
        <v>11075</v>
      </c>
      <c r="E142" s="1">
        <v>2070</v>
      </c>
      <c r="F142" s="4">
        <v>1.0511689814814815</v>
      </c>
    </row>
    <row r="143" spans="1:6" x14ac:dyDescent="0.3">
      <c r="A143" s="1">
        <v>10</v>
      </c>
      <c r="B143" s="1">
        <v>7940</v>
      </c>
      <c r="C143" s="1">
        <v>4040</v>
      </c>
      <c r="D143" s="1">
        <v>12050</v>
      </c>
      <c r="E143" s="1">
        <v>2250</v>
      </c>
      <c r="F143" s="4">
        <v>1.1436111111111111</v>
      </c>
    </row>
    <row r="144" spans="1:6" x14ac:dyDescent="0.3">
      <c r="A144" s="1">
        <v>11</v>
      </c>
      <c r="B144" s="1">
        <v>8570</v>
      </c>
      <c r="C144" s="1">
        <v>4360</v>
      </c>
      <c r="D144" s="1">
        <v>13005</v>
      </c>
      <c r="E144" s="1">
        <v>2430</v>
      </c>
      <c r="F144" s="4">
        <v>1.2342245370370371</v>
      </c>
    </row>
    <row r="145" spans="1:6" x14ac:dyDescent="0.3">
      <c r="A145" s="1">
        <v>12</v>
      </c>
      <c r="B145" s="1">
        <v>9185</v>
      </c>
      <c r="C145" s="1">
        <v>4670</v>
      </c>
      <c r="D145" s="1">
        <v>13945</v>
      </c>
      <c r="E145" s="1">
        <v>2605</v>
      </c>
      <c r="F145" s="4">
        <v>1.3231944444444443</v>
      </c>
    </row>
    <row r="146" spans="1:6" x14ac:dyDescent="0.3">
      <c r="A146" s="1">
        <v>13</v>
      </c>
      <c r="B146" s="1">
        <v>9795</v>
      </c>
      <c r="C146" s="1">
        <v>4980</v>
      </c>
      <c r="D146" s="1">
        <v>14865</v>
      </c>
      <c r="E146" s="1">
        <v>2775</v>
      </c>
      <c r="F146" s="4">
        <v>1.4106944444444445</v>
      </c>
    </row>
    <row r="147" spans="1:6" x14ac:dyDescent="0.3">
      <c r="A147" s="1">
        <v>14</v>
      </c>
      <c r="B147" s="1">
        <v>10390</v>
      </c>
      <c r="C147" s="1">
        <v>5285</v>
      </c>
      <c r="D147" s="1">
        <v>15775</v>
      </c>
      <c r="E147" s="1">
        <v>2945</v>
      </c>
      <c r="F147" s="4">
        <v>1.4968518518518519</v>
      </c>
    </row>
    <row r="148" spans="1:6" x14ac:dyDescent="0.3">
      <c r="A148" s="1">
        <v>15</v>
      </c>
      <c r="B148" s="1">
        <v>10980</v>
      </c>
      <c r="C148" s="1">
        <v>5585</v>
      </c>
      <c r="D148" s="1">
        <v>16670</v>
      </c>
      <c r="E148" s="1">
        <v>3115</v>
      </c>
      <c r="F148" s="4">
        <v>1.5817939814814814</v>
      </c>
    </row>
    <row r="149" spans="1:6" x14ac:dyDescent="0.3">
      <c r="A149" s="1">
        <v>16</v>
      </c>
      <c r="B149" s="1">
        <v>11565</v>
      </c>
      <c r="C149" s="1">
        <v>5880</v>
      </c>
      <c r="D149" s="1">
        <v>17550</v>
      </c>
      <c r="E149" s="1">
        <v>3280</v>
      </c>
      <c r="F149" s="4">
        <v>1.6656134259259259</v>
      </c>
    </row>
    <row r="150" spans="1:6" x14ac:dyDescent="0.3">
      <c r="A150" s="1">
        <v>17</v>
      </c>
      <c r="B150" s="1">
        <v>12140</v>
      </c>
      <c r="C150" s="1">
        <v>6175</v>
      </c>
      <c r="D150" s="1">
        <v>18425</v>
      </c>
      <c r="E150" s="1">
        <v>3440</v>
      </c>
      <c r="F150" s="4">
        <v>1.7483796296296297</v>
      </c>
    </row>
    <row r="151" spans="1:6" x14ac:dyDescent="0.3">
      <c r="A151" s="1">
        <v>18</v>
      </c>
      <c r="B151" s="1">
        <v>12705</v>
      </c>
      <c r="C151" s="1">
        <v>6460</v>
      </c>
      <c r="D151" s="1">
        <v>19285</v>
      </c>
      <c r="E151" s="1">
        <v>3600</v>
      </c>
      <c r="F151" s="4">
        <v>1.8301851851851851</v>
      </c>
    </row>
    <row r="152" spans="1:6" x14ac:dyDescent="0.3">
      <c r="A152" s="1">
        <v>19</v>
      </c>
      <c r="B152" s="1">
        <v>13270</v>
      </c>
      <c r="C152" s="1">
        <v>6750</v>
      </c>
      <c r="D152" s="1">
        <v>20140</v>
      </c>
      <c r="E152" s="1">
        <v>3760</v>
      </c>
      <c r="F152" s="4">
        <v>1.9110879629629629</v>
      </c>
    </row>
    <row r="153" spans="1:6" x14ac:dyDescent="0.3">
      <c r="A153" s="1">
        <v>20</v>
      </c>
      <c r="B153" s="1">
        <v>13825</v>
      </c>
      <c r="C153" s="1">
        <v>7030</v>
      </c>
      <c r="D153" s="1">
        <v>20985</v>
      </c>
      <c r="E153" s="1">
        <v>3920</v>
      </c>
      <c r="F153" s="4">
        <v>1.9911458333333334</v>
      </c>
    </row>
    <row r="155" spans="1:6" x14ac:dyDescent="0.3">
      <c r="A155" t="s">
        <v>135</v>
      </c>
      <c r="B155" t="s">
        <v>17</v>
      </c>
      <c r="C155" t="s">
        <v>18</v>
      </c>
      <c r="D155" t="s">
        <v>19</v>
      </c>
      <c r="E155" t="s">
        <v>20</v>
      </c>
      <c r="F155" t="s">
        <v>22</v>
      </c>
    </row>
    <row r="156" spans="1:6" x14ac:dyDescent="0.3">
      <c r="A156" s="1">
        <v>1</v>
      </c>
      <c r="B156" s="1">
        <v>660</v>
      </c>
      <c r="C156" s="1">
        <v>1465</v>
      </c>
      <c r="D156" s="1">
        <v>995</v>
      </c>
      <c r="E156" s="1">
        <v>185</v>
      </c>
      <c r="F156" s="3">
        <v>0.36458333333333331</v>
      </c>
    </row>
    <row r="157" spans="1:6" x14ac:dyDescent="0.3">
      <c r="A157" s="1">
        <v>2</v>
      </c>
      <c r="B157" s="1">
        <v>1145</v>
      </c>
      <c r="C157" s="1">
        <v>2550</v>
      </c>
      <c r="D157" s="1">
        <v>1735</v>
      </c>
      <c r="E157" s="1">
        <v>320</v>
      </c>
      <c r="F157" s="3">
        <v>0.6347800925925926</v>
      </c>
    </row>
    <row r="158" spans="1:6" x14ac:dyDescent="0.3">
      <c r="A158" s="1">
        <v>3</v>
      </c>
      <c r="B158" s="1">
        <v>1585</v>
      </c>
      <c r="C158" s="1">
        <v>3525</v>
      </c>
      <c r="D158" s="1">
        <v>2400</v>
      </c>
      <c r="E158" s="1">
        <v>445</v>
      </c>
      <c r="F158" s="3">
        <v>0.87799768518518517</v>
      </c>
    </row>
    <row r="159" spans="1:6" x14ac:dyDescent="0.3">
      <c r="A159" s="1">
        <v>4</v>
      </c>
      <c r="B159" s="1">
        <v>1995</v>
      </c>
      <c r="C159" s="1">
        <v>4435</v>
      </c>
      <c r="D159" s="1">
        <v>3020</v>
      </c>
      <c r="E159" s="1">
        <v>560</v>
      </c>
      <c r="F159" s="4">
        <v>1.1052083333333333</v>
      </c>
    </row>
    <row r="160" spans="1:6" x14ac:dyDescent="0.3">
      <c r="A160" s="1">
        <v>5</v>
      </c>
      <c r="B160" s="1">
        <v>2385</v>
      </c>
      <c r="C160" s="1">
        <v>5305</v>
      </c>
      <c r="D160" s="1">
        <v>3610</v>
      </c>
      <c r="E160" s="1">
        <v>665</v>
      </c>
      <c r="F160" s="4">
        <v>1.3212152777777777</v>
      </c>
    </row>
    <row r="161" spans="1:6" x14ac:dyDescent="0.3">
      <c r="A161" s="1">
        <v>6</v>
      </c>
      <c r="B161" s="1">
        <v>2760</v>
      </c>
      <c r="C161" s="1">
        <v>6135</v>
      </c>
      <c r="D161" s="1">
        <v>4175</v>
      </c>
      <c r="E161" s="1">
        <v>770</v>
      </c>
      <c r="F161" s="4">
        <v>1.5286805555555556</v>
      </c>
    </row>
    <row r="162" spans="1:6" x14ac:dyDescent="0.3">
      <c r="A162" s="1">
        <v>7</v>
      </c>
      <c r="B162" s="1">
        <v>3125</v>
      </c>
      <c r="C162" s="1">
        <v>6940</v>
      </c>
      <c r="D162" s="1">
        <v>4725</v>
      </c>
      <c r="E162" s="1">
        <v>875</v>
      </c>
      <c r="F162" s="4">
        <v>1.7293171296296297</v>
      </c>
    </row>
    <row r="163" spans="1:6" x14ac:dyDescent="0.3">
      <c r="A163" s="1">
        <v>8</v>
      </c>
      <c r="B163" s="1">
        <v>3475</v>
      </c>
      <c r="C163" s="1">
        <v>7725</v>
      </c>
      <c r="D163" s="1">
        <v>5255</v>
      </c>
      <c r="E163" s="1">
        <v>970</v>
      </c>
      <c r="F163" s="4">
        <v>1.9242824074074074</v>
      </c>
    </row>
    <row r="164" spans="1:6" x14ac:dyDescent="0.3">
      <c r="A164" s="1">
        <v>9</v>
      </c>
      <c r="B164" s="1">
        <v>3820</v>
      </c>
      <c r="C164" s="1">
        <v>8485</v>
      </c>
      <c r="D164" s="1">
        <v>5775</v>
      </c>
      <c r="E164" s="1">
        <v>1070</v>
      </c>
      <c r="F164" s="4">
        <v>2.1144212962962965</v>
      </c>
    </row>
    <row r="165" spans="1:6" x14ac:dyDescent="0.3">
      <c r="A165" s="1">
        <v>10</v>
      </c>
      <c r="B165" s="1">
        <v>4155</v>
      </c>
      <c r="C165" s="1">
        <v>9235</v>
      </c>
      <c r="D165" s="1">
        <v>6285</v>
      </c>
      <c r="E165" s="1">
        <v>1160</v>
      </c>
      <c r="F165" s="4">
        <v>2.3003703703703704</v>
      </c>
    </row>
    <row r="166" spans="1:6" x14ac:dyDescent="0.3">
      <c r="A166" s="1">
        <v>11</v>
      </c>
      <c r="B166" s="1">
        <v>4485</v>
      </c>
      <c r="C166" s="1">
        <v>9965</v>
      </c>
      <c r="D166" s="1">
        <v>6780</v>
      </c>
      <c r="E166" s="1">
        <v>1255</v>
      </c>
      <c r="F166" s="4">
        <v>2.482627314814815</v>
      </c>
    </row>
    <row r="167" spans="1:6" x14ac:dyDescent="0.3">
      <c r="A167" s="1">
        <v>12</v>
      </c>
      <c r="B167" s="1">
        <v>4805</v>
      </c>
      <c r="C167" s="1">
        <v>10685</v>
      </c>
      <c r="D167" s="1">
        <v>7270</v>
      </c>
      <c r="E167" s="1">
        <v>1345</v>
      </c>
      <c r="F167" s="4">
        <v>2.6615972222222224</v>
      </c>
    </row>
    <row r="168" spans="1:6" x14ac:dyDescent="0.3">
      <c r="A168" s="1">
        <v>13</v>
      </c>
      <c r="B168" s="1">
        <v>5125</v>
      </c>
      <c r="C168" s="1">
        <v>11390</v>
      </c>
      <c r="D168" s="1">
        <v>7750</v>
      </c>
      <c r="E168" s="1">
        <v>1435</v>
      </c>
      <c r="F168" s="4">
        <v>2.8376041666666665</v>
      </c>
    </row>
    <row r="169" spans="1:6" x14ac:dyDescent="0.3">
      <c r="A169" s="1">
        <v>14</v>
      </c>
      <c r="B169" s="1">
        <v>5435</v>
      </c>
      <c r="C169" s="1">
        <v>12085</v>
      </c>
      <c r="D169" s="1">
        <v>8225</v>
      </c>
      <c r="E169" s="1">
        <v>1520</v>
      </c>
      <c r="F169" s="4">
        <v>3.010925925925926</v>
      </c>
    </row>
    <row r="170" spans="1:6" x14ac:dyDescent="0.3">
      <c r="A170" s="1">
        <v>15</v>
      </c>
      <c r="B170" s="1">
        <v>5745</v>
      </c>
      <c r="C170" s="1">
        <v>12770</v>
      </c>
      <c r="D170" s="1">
        <v>8690</v>
      </c>
      <c r="E170" s="1">
        <v>1605</v>
      </c>
      <c r="F170" s="4">
        <v>3.1817824074074075</v>
      </c>
    </row>
    <row r="171" spans="1:6" x14ac:dyDescent="0.3">
      <c r="A171" s="1">
        <v>16</v>
      </c>
      <c r="B171" s="1">
        <v>6050</v>
      </c>
      <c r="C171" s="1">
        <v>13445</v>
      </c>
      <c r="D171" s="1">
        <v>9150</v>
      </c>
      <c r="E171" s="1">
        <v>1690</v>
      </c>
      <c r="F171" s="4">
        <v>3.3503703703703702</v>
      </c>
    </row>
    <row r="172" spans="1:6" x14ac:dyDescent="0.3">
      <c r="A172" s="1">
        <v>17</v>
      </c>
      <c r="B172" s="1">
        <v>6350</v>
      </c>
      <c r="C172" s="1">
        <v>14115</v>
      </c>
      <c r="D172" s="1">
        <v>9605</v>
      </c>
      <c r="E172" s="1">
        <v>1775</v>
      </c>
      <c r="F172" s="4">
        <v>3.5168634259259259</v>
      </c>
    </row>
    <row r="173" spans="1:6" x14ac:dyDescent="0.3">
      <c r="A173" s="1">
        <v>18</v>
      </c>
      <c r="B173" s="1">
        <v>6650</v>
      </c>
      <c r="C173" s="1">
        <v>14775</v>
      </c>
      <c r="D173" s="1">
        <v>10055</v>
      </c>
      <c r="E173" s="1">
        <v>1860</v>
      </c>
      <c r="F173" s="4">
        <v>3.6814120370370369</v>
      </c>
    </row>
    <row r="174" spans="1:6" x14ac:dyDescent="0.3">
      <c r="A174" s="1">
        <v>19</v>
      </c>
      <c r="B174" s="1">
        <v>6940</v>
      </c>
      <c r="C174" s="1">
        <v>15430</v>
      </c>
      <c r="D174" s="1">
        <v>10500</v>
      </c>
      <c r="E174" s="1">
        <v>1940</v>
      </c>
      <c r="F174" s="4">
        <v>3.8441435185185187</v>
      </c>
    </row>
    <row r="175" spans="1:6" x14ac:dyDescent="0.3">
      <c r="A175" s="1">
        <v>20</v>
      </c>
      <c r="B175" s="1">
        <v>7230</v>
      </c>
      <c r="C175" s="1">
        <v>16075</v>
      </c>
      <c r="D175" s="1">
        <v>10940</v>
      </c>
      <c r="E175" s="1">
        <v>2025</v>
      </c>
      <c r="F175" s="4">
        <v>4.0051736111111111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6D05F-C9BF-4825-BB76-45B6E641FD3A}">
  <dimension ref="A1:F175"/>
  <sheetViews>
    <sheetView workbookViewId="0">
      <selection activeCell="K156" sqref="K156"/>
    </sheetView>
  </sheetViews>
  <sheetFormatPr defaultRowHeight="14.4" x14ac:dyDescent="0.3"/>
  <sheetData>
    <row r="1" spans="1:6" x14ac:dyDescent="0.3">
      <c r="A1" t="s">
        <v>143</v>
      </c>
      <c r="B1" t="s">
        <v>17</v>
      </c>
      <c r="C1" t="s">
        <v>18</v>
      </c>
      <c r="D1" t="s">
        <v>19</v>
      </c>
      <c r="E1" t="s">
        <v>20</v>
      </c>
      <c r="F1" t="s">
        <v>22</v>
      </c>
    </row>
    <row r="2" spans="1:6" x14ac:dyDescent="0.3">
      <c r="A2" s="1">
        <v>1</v>
      </c>
      <c r="B2" s="1">
        <v>765</v>
      </c>
      <c r="C2" s="1">
        <v>660</v>
      </c>
      <c r="D2" s="1">
        <v>550</v>
      </c>
      <c r="E2" s="1">
        <v>440</v>
      </c>
      <c r="F2" s="3">
        <v>4.8611111111111112E-2</v>
      </c>
    </row>
    <row r="3" spans="1:6" x14ac:dyDescent="0.3">
      <c r="A3" s="1">
        <v>2</v>
      </c>
      <c r="B3" s="1">
        <v>1330</v>
      </c>
      <c r="C3" s="1">
        <v>1150</v>
      </c>
      <c r="D3" s="1">
        <v>960</v>
      </c>
      <c r="E3" s="1">
        <v>765</v>
      </c>
      <c r="F3" s="3">
        <v>8.4641203703703705E-2</v>
      </c>
    </row>
    <row r="4" spans="1:6" x14ac:dyDescent="0.3">
      <c r="A4" s="1">
        <v>3</v>
      </c>
      <c r="B4" s="1">
        <v>1840</v>
      </c>
      <c r="C4" s="1">
        <v>1590</v>
      </c>
      <c r="D4" s="1">
        <v>1325</v>
      </c>
      <c r="E4" s="1">
        <v>1060</v>
      </c>
      <c r="F4" s="3">
        <v>0.11707175925925926</v>
      </c>
    </row>
    <row r="5" spans="1:6" x14ac:dyDescent="0.3">
      <c r="A5" s="1">
        <v>4</v>
      </c>
      <c r="B5" s="1">
        <v>2320</v>
      </c>
      <c r="C5" s="1">
        <v>2000</v>
      </c>
      <c r="D5" s="1">
        <v>1665</v>
      </c>
      <c r="E5" s="1">
        <v>1335</v>
      </c>
      <c r="F5" s="3">
        <v>0.14736111111111111</v>
      </c>
    </row>
    <row r="6" spans="1:6" x14ac:dyDescent="0.3">
      <c r="A6" s="1">
        <v>5</v>
      </c>
      <c r="B6" s="1">
        <v>2770</v>
      </c>
      <c r="C6" s="1">
        <v>2390</v>
      </c>
      <c r="D6" s="1">
        <v>1995</v>
      </c>
      <c r="E6" s="1">
        <v>1595</v>
      </c>
      <c r="F6" s="3">
        <v>0.1761574074074074</v>
      </c>
    </row>
    <row r="7" spans="1:6" x14ac:dyDescent="0.3">
      <c r="A7" s="1">
        <v>6</v>
      </c>
      <c r="B7" s="1">
        <v>3210</v>
      </c>
      <c r="C7" s="1">
        <v>2765</v>
      </c>
      <c r="D7" s="1">
        <v>2305</v>
      </c>
      <c r="E7" s="1">
        <v>1845</v>
      </c>
      <c r="F7" s="3">
        <v>0.20381944444444444</v>
      </c>
    </row>
    <row r="8" spans="1:6" x14ac:dyDescent="0.3">
      <c r="A8" s="1">
        <v>7</v>
      </c>
      <c r="B8" s="1">
        <v>3630</v>
      </c>
      <c r="C8" s="1">
        <v>3130</v>
      </c>
      <c r="D8" s="1">
        <v>2610</v>
      </c>
      <c r="E8" s="1">
        <v>2085</v>
      </c>
      <c r="F8" s="3">
        <v>0.2305787037037037</v>
      </c>
    </row>
    <row r="9" spans="1:6" x14ac:dyDescent="0.3">
      <c r="A9" s="1">
        <v>8</v>
      </c>
      <c r="B9" s="1">
        <v>4040</v>
      </c>
      <c r="C9" s="1">
        <v>3485</v>
      </c>
      <c r="D9" s="1">
        <v>2905</v>
      </c>
      <c r="E9" s="1">
        <v>2320</v>
      </c>
      <c r="F9" s="3">
        <v>0.25657407407407407</v>
      </c>
    </row>
    <row r="10" spans="1:6" x14ac:dyDescent="0.3">
      <c r="A10" s="1">
        <v>9</v>
      </c>
      <c r="B10" s="1">
        <v>4435</v>
      </c>
      <c r="C10" s="1">
        <v>3830</v>
      </c>
      <c r="D10" s="1">
        <v>3190</v>
      </c>
      <c r="E10" s="1">
        <v>2550</v>
      </c>
      <c r="F10" s="3">
        <v>0.28192129629629631</v>
      </c>
    </row>
    <row r="11" spans="1:6" x14ac:dyDescent="0.3">
      <c r="A11" s="1">
        <v>10</v>
      </c>
      <c r="B11" s="1">
        <v>4825</v>
      </c>
      <c r="C11" s="1">
        <v>4165</v>
      </c>
      <c r="D11" s="1">
        <v>3470</v>
      </c>
      <c r="E11" s="1">
        <v>2775</v>
      </c>
      <c r="F11" s="3">
        <v>0.30671296296296297</v>
      </c>
    </row>
    <row r="12" spans="1:6" x14ac:dyDescent="0.3">
      <c r="A12" s="1">
        <v>11</v>
      </c>
      <c r="B12" s="1">
        <v>5210</v>
      </c>
      <c r="C12" s="1">
        <v>4495</v>
      </c>
      <c r="D12" s="1">
        <v>3745</v>
      </c>
      <c r="E12" s="1">
        <v>2995</v>
      </c>
      <c r="F12" s="3">
        <v>0.33101851851851855</v>
      </c>
    </row>
    <row r="13" spans="1:6" x14ac:dyDescent="0.3">
      <c r="A13" s="1">
        <v>12</v>
      </c>
      <c r="B13" s="1">
        <v>5585</v>
      </c>
      <c r="C13" s="1">
        <v>4820</v>
      </c>
      <c r="D13" s="1">
        <v>4015</v>
      </c>
      <c r="E13" s="1">
        <v>3210</v>
      </c>
      <c r="F13" s="3">
        <v>0.35488425925925926</v>
      </c>
    </row>
    <row r="14" spans="1:6" x14ac:dyDescent="0.3">
      <c r="A14" s="1">
        <v>13</v>
      </c>
      <c r="B14" s="1">
        <v>5955</v>
      </c>
      <c r="C14" s="1">
        <v>5135</v>
      </c>
      <c r="D14" s="1">
        <v>4280</v>
      </c>
      <c r="E14" s="1">
        <v>3425</v>
      </c>
      <c r="F14" s="3">
        <v>0.37834490740740739</v>
      </c>
    </row>
    <row r="15" spans="1:6" x14ac:dyDescent="0.3">
      <c r="A15" s="1">
        <v>14</v>
      </c>
      <c r="B15" s="1">
        <v>6320</v>
      </c>
      <c r="C15" s="1">
        <v>5450</v>
      </c>
      <c r="D15" s="1">
        <v>4540</v>
      </c>
      <c r="E15" s="1">
        <v>3635</v>
      </c>
      <c r="F15" s="3">
        <v>0.40145833333333331</v>
      </c>
    </row>
    <row r="16" spans="1:6" x14ac:dyDescent="0.3">
      <c r="A16" s="1">
        <v>15</v>
      </c>
      <c r="B16" s="1">
        <v>6675</v>
      </c>
      <c r="C16" s="1">
        <v>5760</v>
      </c>
      <c r="D16" s="1">
        <v>4800</v>
      </c>
      <c r="E16" s="1">
        <v>3840</v>
      </c>
      <c r="F16" s="3">
        <v>0.42423611111111109</v>
      </c>
    </row>
    <row r="17" spans="1:6" x14ac:dyDescent="0.3">
      <c r="A17" s="1">
        <v>16</v>
      </c>
      <c r="B17" s="1">
        <v>7030</v>
      </c>
      <c r="C17" s="1">
        <v>6065</v>
      </c>
      <c r="D17" s="1">
        <v>5055</v>
      </c>
      <c r="E17" s="1">
        <v>4045</v>
      </c>
      <c r="F17" s="3">
        <v>0.44671296296296298</v>
      </c>
    </row>
    <row r="18" spans="1:6" x14ac:dyDescent="0.3">
      <c r="A18" s="1">
        <v>17</v>
      </c>
      <c r="B18" s="1">
        <v>7380</v>
      </c>
      <c r="C18" s="1">
        <v>6365</v>
      </c>
      <c r="D18" s="1">
        <v>5305</v>
      </c>
      <c r="E18" s="1">
        <v>4245</v>
      </c>
      <c r="F18" s="3">
        <v>0.46891203703703704</v>
      </c>
    </row>
    <row r="19" spans="1:6" x14ac:dyDescent="0.3">
      <c r="A19" s="1">
        <v>18</v>
      </c>
      <c r="B19" s="1">
        <v>7725</v>
      </c>
      <c r="C19" s="1">
        <v>6665</v>
      </c>
      <c r="D19" s="1">
        <v>5555</v>
      </c>
      <c r="E19" s="1">
        <v>4445</v>
      </c>
      <c r="F19" s="3">
        <v>0.49085648148148148</v>
      </c>
    </row>
    <row r="20" spans="1:6" x14ac:dyDescent="0.3">
      <c r="A20" s="1">
        <v>19</v>
      </c>
      <c r="B20" s="1">
        <v>8065</v>
      </c>
      <c r="C20" s="1">
        <v>6960</v>
      </c>
      <c r="D20" s="1">
        <v>5800</v>
      </c>
      <c r="E20" s="1">
        <v>4640</v>
      </c>
      <c r="F20" s="3">
        <v>0.51255787037037037</v>
      </c>
    </row>
    <row r="21" spans="1:6" x14ac:dyDescent="0.3">
      <c r="A21" s="1">
        <v>20</v>
      </c>
      <c r="B21" s="1">
        <v>8405</v>
      </c>
      <c r="C21" s="1">
        <v>7250</v>
      </c>
      <c r="D21" s="1">
        <v>6040</v>
      </c>
      <c r="E21" s="1">
        <v>4835</v>
      </c>
      <c r="F21" s="3">
        <v>0.53402777777777777</v>
      </c>
    </row>
    <row r="23" spans="1:6" x14ac:dyDescent="0.3">
      <c r="A23" t="s">
        <v>150</v>
      </c>
      <c r="B23" t="s">
        <v>17</v>
      </c>
      <c r="C23" t="s">
        <v>18</v>
      </c>
      <c r="D23" t="s">
        <v>19</v>
      </c>
      <c r="E23" t="s">
        <v>20</v>
      </c>
      <c r="F23" t="s">
        <v>22</v>
      </c>
    </row>
    <row r="24" spans="1:6" x14ac:dyDescent="0.3">
      <c r="A24" s="1">
        <v>1</v>
      </c>
      <c r="B24" s="1">
        <v>975</v>
      </c>
      <c r="C24" s="1">
        <v>590</v>
      </c>
      <c r="D24" s="1">
        <v>795</v>
      </c>
      <c r="E24" s="1">
        <v>440</v>
      </c>
      <c r="F24" s="3">
        <v>5.8333333333333334E-2</v>
      </c>
    </row>
    <row r="25" spans="1:6" x14ac:dyDescent="0.3">
      <c r="A25" s="1">
        <v>2</v>
      </c>
      <c r="B25" s="1">
        <v>1700</v>
      </c>
      <c r="C25" s="1">
        <v>1025</v>
      </c>
      <c r="D25" s="1">
        <v>1385</v>
      </c>
      <c r="E25" s="1">
        <v>765</v>
      </c>
      <c r="F25" s="3">
        <v>0.1015625</v>
      </c>
    </row>
    <row r="26" spans="1:6" x14ac:dyDescent="0.3">
      <c r="A26" s="1">
        <v>3</v>
      </c>
      <c r="B26" s="1">
        <v>2350</v>
      </c>
      <c r="C26" s="1">
        <v>1420</v>
      </c>
      <c r="D26" s="1">
        <v>1915</v>
      </c>
      <c r="E26" s="1">
        <v>1060</v>
      </c>
      <c r="F26" s="3">
        <v>0.14047453703703705</v>
      </c>
    </row>
    <row r="27" spans="1:6" x14ac:dyDescent="0.3">
      <c r="A27" s="1">
        <v>4</v>
      </c>
      <c r="B27" s="1">
        <v>2955</v>
      </c>
      <c r="C27" s="1">
        <v>1790</v>
      </c>
      <c r="D27" s="1">
        <v>2410</v>
      </c>
      <c r="E27" s="1">
        <v>1335</v>
      </c>
      <c r="F27" s="3">
        <v>0.17682870370370371</v>
      </c>
    </row>
    <row r="28" spans="1:6" x14ac:dyDescent="0.3">
      <c r="A28" s="1">
        <v>5</v>
      </c>
      <c r="B28" s="1">
        <v>3535</v>
      </c>
      <c r="C28" s="1">
        <v>2140</v>
      </c>
      <c r="D28" s="1">
        <v>2880</v>
      </c>
      <c r="E28" s="1">
        <v>1595</v>
      </c>
      <c r="F28" s="3">
        <v>0.21138888888888888</v>
      </c>
    </row>
    <row r="29" spans="1:6" x14ac:dyDescent="0.3">
      <c r="A29" s="1">
        <v>6</v>
      </c>
      <c r="B29" s="1">
        <v>4090</v>
      </c>
      <c r="C29" s="1">
        <v>2475</v>
      </c>
      <c r="D29" s="1">
        <v>3335</v>
      </c>
      <c r="E29" s="1">
        <v>1845</v>
      </c>
      <c r="F29" s="3">
        <v>0.24459490740740741</v>
      </c>
    </row>
    <row r="30" spans="1:6" x14ac:dyDescent="0.3">
      <c r="A30" s="1">
        <v>7</v>
      </c>
      <c r="B30" s="1">
        <v>4625</v>
      </c>
      <c r="C30" s="1">
        <v>2800</v>
      </c>
      <c r="D30" s="1">
        <v>3770</v>
      </c>
      <c r="E30" s="1">
        <v>2085</v>
      </c>
      <c r="F30" s="3">
        <v>0.27668981481481481</v>
      </c>
    </row>
    <row r="31" spans="1:6" x14ac:dyDescent="0.3">
      <c r="A31" s="1">
        <v>8</v>
      </c>
      <c r="B31" s="1">
        <v>5145</v>
      </c>
      <c r="C31" s="1">
        <v>3115</v>
      </c>
      <c r="D31" s="1">
        <v>4195</v>
      </c>
      <c r="E31" s="1">
        <v>2320</v>
      </c>
      <c r="F31" s="3">
        <v>0.30788194444444444</v>
      </c>
    </row>
    <row r="32" spans="1:6" x14ac:dyDescent="0.3">
      <c r="A32" s="1">
        <v>9</v>
      </c>
      <c r="B32" s="1">
        <v>5655</v>
      </c>
      <c r="C32" s="1">
        <v>3420</v>
      </c>
      <c r="D32" s="1">
        <v>4610</v>
      </c>
      <c r="E32" s="1">
        <v>2550</v>
      </c>
      <c r="F32" s="3">
        <v>0.33831018518518519</v>
      </c>
    </row>
    <row r="33" spans="1:6" x14ac:dyDescent="0.3">
      <c r="A33" s="1">
        <v>10</v>
      </c>
      <c r="B33" s="1">
        <v>6150</v>
      </c>
      <c r="C33" s="1">
        <v>3725</v>
      </c>
      <c r="D33" s="1">
        <v>5015</v>
      </c>
      <c r="E33" s="1">
        <v>2775</v>
      </c>
      <c r="F33" s="3">
        <v>0.36805555555555558</v>
      </c>
    </row>
    <row r="34" spans="1:6" x14ac:dyDescent="0.3">
      <c r="A34" s="1">
        <v>11</v>
      </c>
      <c r="B34" s="1">
        <v>6640</v>
      </c>
      <c r="C34" s="1">
        <v>4020</v>
      </c>
      <c r="D34" s="1">
        <v>5415</v>
      </c>
      <c r="E34" s="1">
        <v>2995</v>
      </c>
      <c r="F34" s="3">
        <v>0.3972222222222222</v>
      </c>
    </row>
    <row r="35" spans="1:6" x14ac:dyDescent="0.3">
      <c r="A35" s="1">
        <v>12</v>
      </c>
      <c r="B35" s="1">
        <v>7120</v>
      </c>
      <c r="C35" s="1">
        <v>4305</v>
      </c>
      <c r="D35" s="1">
        <v>5805</v>
      </c>
      <c r="E35" s="1">
        <v>3210</v>
      </c>
      <c r="F35" s="3">
        <v>0.42585648148148147</v>
      </c>
    </row>
    <row r="36" spans="1:6" x14ac:dyDescent="0.3">
      <c r="A36" s="1">
        <v>13</v>
      </c>
      <c r="B36" s="1">
        <v>7590</v>
      </c>
      <c r="C36" s="1">
        <v>4590</v>
      </c>
      <c r="D36" s="1">
        <v>6190</v>
      </c>
      <c r="E36" s="1">
        <v>3425</v>
      </c>
      <c r="F36" s="3">
        <v>0.45401620370370371</v>
      </c>
    </row>
    <row r="37" spans="1:6" x14ac:dyDescent="0.3">
      <c r="A37" s="1">
        <v>14</v>
      </c>
      <c r="B37" s="1">
        <v>8050</v>
      </c>
      <c r="C37" s="1">
        <v>4875</v>
      </c>
      <c r="D37" s="1">
        <v>6565</v>
      </c>
      <c r="E37" s="1">
        <v>3635</v>
      </c>
      <c r="F37" s="3">
        <v>0.48174768518518518</v>
      </c>
    </row>
    <row r="38" spans="1:6" x14ac:dyDescent="0.3">
      <c r="A38" s="1">
        <v>15</v>
      </c>
      <c r="B38" s="1">
        <v>8510</v>
      </c>
      <c r="C38" s="1">
        <v>5150</v>
      </c>
      <c r="D38" s="1">
        <v>6940</v>
      </c>
      <c r="E38" s="1">
        <v>3840</v>
      </c>
      <c r="F38" s="3">
        <v>0.50908564814814816</v>
      </c>
    </row>
    <row r="39" spans="1:6" x14ac:dyDescent="0.3">
      <c r="A39" s="1">
        <v>16</v>
      </c>
      <c r="B39" s="1">
        <v>8960</v>
      </c>
      <c r="C39" s="1">
        <v>5420</v>
      </c>
      <c r="D39" s="1">
        <v>7305</v>
      </c>
      <c r="E39" s="1">
        <v>4045</v>
      </c>
      <c r="F39" s="3">
        <v>0.53606481481481483</v>
      </c>
    </row>
    <row r="40" spans="1:6" x14ac:dyDescent="0.3">
      <c r="A40" s="1">
        <v>17</v>
      </c>
      <c r="B40" s="1">
        <v>9405</v>
      </c>
      <c r="C40" s="1">
        <v>5690</v>
      </c>
      <c r="D40" s="1">
        <v>7670</v>
      </c>
      <c r="E40" s="1">
        <v>4245</v>
      </c>
      <c r="F40" s="3">
        <v>0.56269675925925922</v>
      </c>
    </row>
    <row r="41" spans="1:6" x14ac:dyDescent="0.3">
      <c r="A41" s="1">
        <v>18</v>
      </c>
      <c r="B41" s="1">
        <v>9845</v>
      </c>
      <c r="C41" s="1">
        <v>5960</v>
      </c>
      <c r="D41" s="1">
        <v>8030</v>
      </c>
      <c r="E41" s="1">
        <v>4445</v>
      </c>
      <c r="F41" s="3">
        <v>0.58902777777777782</v>
      </c>
    </row>
    <row r="42" spans="1:6" x14ac:dyDescent="0.3">
      <c r="A42" s="1">
        <v>19</v>
      </c>
      <c r="B42" s="1">
        <v>10280</v>
      </c>
      <c r="C42" s="1">
        <v>6220</v>
      </c>
      <c r="D42" s="1">
        <v>8380</v>
      </c>
      <c r="E42" s="1">
        <v>4640</v>
      </c>
      <c r="F42" s="3">
        <v>0.61505787037037041</v>
      </c>
    </row>
    <row r="43" spans="1:6" x14ac:dyDescent="0.3">
      <c r="A43" s="1">
        <v>20</v>
      </c>
      <c r="B43" s="1">
        <v>10710</v>
      </c>
      <c r="C43" s="1">
        <v>6480</v>
      </c>
      <c r="D43" s="1">
        <v>8735</v>
      </c>
      <c r="E43" s="1">
        <v>4835</v>
      </c>
      <c r="F43" s="3">
        <v>0.64082175925925922</v>
      </c>
    </row>
    <row r="45" spans="1:6" x14ac:dyDescent="0.3">
      <c r="A45" t="s">
        <v>149</v>
      </c>
      <c r="B45" t="s">
        <v>17</v>
      </c>
      <c r="C45" t="s">
        <v>18</v>
      </c>
      <c r="D45" t="s">
        <v>19</v>
      </c>
      <c r="E45" t="s">
        <v>20</v>
      </c>
      <c r="F45" t="s">
        <v>22</v>
      </c>
    </row>
    <row r="46" spans="1:6" x14ac:dyDescent="0.3">
      <c r="A46" s="1">
        <v>1</v>
      </c>
      <c r="B46" s="1">
        <v>875</v>
      </c>
      <c r="C46" s="1">
        <v>820</v>
      </c>
      <c r="D46" s="1">
        <v>800</v>
      </c>
      <c r="E46" s="1">
        <v>325</v>
      </c>
      <c r="F46" s="3">
        <v>7.4652777777777776E-2</v>
      </c>
    </row>
    <row r="47" spans="1:6" x14ac:dyDescent="0.3">
      <c r="A47" s="1">
        <v>2</v>
      </c>
      <c r="B47" s="1">
        <v>1520</v>
      </c>
      <c r="C47" s="1">
        <v>1430</v>
      </c>
      <c r="D47" s="1">
        <v>1395</v>
      </c>
      <c r="E47" s="1">
        <v>565</v>
      </c>
      <c r="F47" s="3">
        <v>0.12997685185185184</v>
      </c>
    </row>
    <row r="48" spans="1:6" x14ac:dyDescent="0.3">
      <c r="A48" s="1">
        <v>3</v>
      </c>
      <c r="B48" s="1">
        <v>2100</v>
      </c>
      <c r="C48" s="1">
        <v>1975</v>
      </c>
      <c r="D48" s="1">
        <v>1925</v>
      </c>
      <c r="E48" s="1">
        <v>785</v>
      </c>
      <c r="F48" s="3">
        <v>0.17978009259259259</v>
      </c>
    </row>
    <row r="49" spans="1:6" x14ac:dyDescent="0.3">
      <c r="A49" s="1">
        <v>4</v>
      </c>
      <c r="B49" s="1">
        <v>2645</v>
      </c>
      <c r="C49" s="1">
        <v>2485</v>
      </c>
      <c r="D49" s="1">
        <v>2425</v>
      </c>
      <c r="E49" s="1">
        <v>985</v>
      </c>
      <c r="F49" s="3">
        <v>0.22630787037037037</v>
      </c>
    </row>
    <row r="50" spans="1:6" x14ac:dyDescent="0.3">
      <c r="A50" s="1">
        <v>5</v>
      </c>
      <c r="B50" s="1">
        <v>3160</v>
      </c>
      <c r="C50" s="1">
        <v>2970</v>
      </c>
      <c r="D50" s="1">
        <v>2900</v>
      </c>
      <c r="E50" s="1">
        <v>1180</v>
      </c>
      <c r="F50" s="3">
        <v>0.27053240740740742</v>
      </c>
    </row>
    <row r="51" spans="1:6" x14ac:dyDescent="0.3">
      <c r="A51" s="1">
        <v>6</v>
      </c>
      <c r="B51" s="1">
        <v>3660</v>
      </c>
      <c r="C51" s="1">
        <v>3440</v>
      </c>
      <c r="D51" s="1">
        <v>3355</v>
      </c>
      <c r="E51" s="1">
        <v>1365</v>
      </c>
      <c r="F51" s="3">
        <v>0.31302083333333336</v>
      </c>
    </row>
    <row r="52" spans="1:6" x14ac:dyDescent="0.3">
      <c r="A52" s="1">
        <v>7</v>
      </c>
      <c r="B52" s="1">
        <v>4140</v>
      </c>
      <c r="C52" s="1">
        <v>3890</v>
      </c>
      <c r="D52" s="1">
        <v>3795</v>
      </c>
      <c r="E52" s="1">
        <v>1540</v>
      </c>
      <c r="F52" s="3">
        <v>0.35409722222222223</v>
      </c>
    </row>
    <row r="53" spans="1:6" x14ac:dyDescent="0.3">
      <c r="A53" s="1">
        <v>8</v>
      </c>
      <c r="B53" s="1">
        <v>4605</v>
      </c>
      <c r="C53" s="1">
        <v>4330</v>
      </c>
      <c r="D53" s="1">
        <v>4220</v>
      </c>
      <c r="E53" s="1">
        <v>1715</v>
      </c>
      <c r="F53" s="3">
        <v>0.39401620370370372</v>
      </c>
    </row>
    <row r="54" spans="1:6" x14ac:dyDescent="0.3">
      <c r="A54" s="1">
        <v>9</v>
      </c>
      <c r="B54" s="1">
        <v>5060</v>
      </c>
      <c r="C54" s="1">
        <v>4755</v>
      </c>
      <c r="D54" s="1">
        <v>4640</v>
      </c>
      <c r="E54" s="1">
        <v>1885</v>
      </c>
      <c r="F54" s="3">
        <v>0.4329513888888889</v>
      </c>
    </row>
    <row r="55" spans="1:6" x14ac:dyDescent="0.3">
      <c r="A55" s="1">
        <v>10</v>
      </c>
      <c r="B55" s="1">
        <v>5505</v>
      </c>
      <c r="C55" s="1">
        <v>5175</v>
      </c>
      <c r="D55" s="1">
        <v>5050</v>
      </c>
      <c r="E55" s="1">
        <v>2050</v>
      </c>
      <c r="F55" s="3">
        <v>0.4710300925925926</v>
      </c>
    </row>
    <row r="56" spans="1:6" x14ac:dyDescent="0.3">
      <c r="A56" s="1">
        <v>11</v>
      </c>
      <c r="B56" s="1">
        <v>5940</v>
      </c>
      <c r="C56" s="1">
        <v>5585</v>
      </c>
      <c r="D56" s="1">
        <v>5450</v>
      </c>
      <c r="E56" s="1">
        <v>2215</v>
      </c>
      <c r="F56" s="3">
        <v>0.50834490740740745</v>
      </c>
    </row>
    <row r="57" spans="1:6" x14ac:dyDescent="0.3">
      <c r="A57" s="1">
        <v>12</v>
      </c>
      <c r="B57" s="1">
        <v>6370</v>
      </c>
      <c r="C57" s="1">
        <v>5985</v>
      </c>
      <c r="D57" s="1">
        <v>5840</v>
      </c>
      <c r="E57" s="1">
        <v>2375</v>
      </c>
      <c r="F57" s="3">
        <v>0.54498842592592589</v>
      </c>
    </row>
    <row r="58" spans="1:6" x14ac:dyDescent="0.3">
      <c r="A58" s="1">
        <v>13</v>
      </c>
      <c r="B58" s="1">
        <v>6790</v>
      </c>
      <c r="C58" s="1">
        <v>6380</v>
      </c>
      <c r="D58" s="1">
        <v>6225</v>
      </c>
      <c r="E58" s="1">
        <v>2530</v>
      </c>
      <c r="F58" s="3">
        <v>0.58103009259259264</v>
      </c>
    </row>
    <row r="59" spans="1:6" x14ac:dyDescent="0.3">
      <c r="A59" s="1">
        <v>14</v>
      </c>
      <c r="B59" s="1">
        <v>7205</v>
      </c>
      <c r="C59" s="1">
        <v>6770</v>
      </c>
      <c r="D59" s="1">
        <v>6605</v>
      </c>
      <c r="E59" s="1">
        <v>2685</v>
      </c>
      <c r="F59" s="3">
        <v>0.61651620370370375</v>
      </c>
    </row>
    <row r="60" spans="1:6" x14ac:dyDescent="0.3">
      <c r="A60" s="1">
        <v>15</v>
      </c>
      <c r="B60" s="1">
        <v>7615</v>
      </c>
      <c r="C60" s="1">
        <v>7155</v>
      </c>
      <c r="D60" s="1">
        <v>6980</v>
      </c>
      <c r="E60" s="1">
        <v>2835</v>
      </c>
      <c r="F60" s="3">
        <v>0.65150462962962963</v>
      </c>
    </row>
    <row r="61" spans="1:6" x14ac:dyDescent="0.3">
      <c r="A61" s="1">
        <v>16</v>
      </c>
      <c r="B61" s="1">
        <v>8020</v>
      </c>
      <c r="C61" s="1">
        <v>7535</v>
      </c>
      <c r="D61" s="1">
        <v>7350</v>
      </c>
      <c r="E61" s="1">
        <v>2985</v>
      </c>
      <c r="F61" s="3">
        <v>0.68603009259259262</v>
      </c>
    </row>
    <row r="62" spans="1:6" x14ac:dyDescent="0.3">
      <c r="A62" s="1">
        <v>17</v>
      </c>
      <c r="B62" s="1">
        <v>8415</v>
      </c>
      <c r="C62" s="1">
        <v>7910</v>
      </c>
      <c r="D62" s="1">
        <v>7715</v>
      </c>
      <c r="E62" s="1">
        <v>3135</v>
      </c>
      <c r="F62" s="3">
        <v>0.7201157407407407</v>
      </c>
    </row>
    <row r="63" spans="1:6" x14ac:dyDescent="0.3">
      <c r="A63" s="1">
        <v>18</v>
      </c>
      <c r="B63" s="1">
        <v>8810</v>
      </c>
      <c r="C63" s="1">
        <v>8280</v>
      </c>
      <c r="D63" s="1">
        <v>8080</v>
      </c>
      <c r="E63" s="1">
        <v>3280</v>
      </c>
      <c r="F63" s="3">
        <v>0.75380787037037034</v>
      </c>
    </row>
    <row r="64" spans="1:6" x14ac:dyDescent="0.3">
      <c r="A64" s="1">
        <v>19</v>
      </c>
      <c r="B64" s="1">
        <v>9200</v>
      </c>
      <c r="C64" s="1">
        <v>8645</v>
      </c>
      <c r="D64" s="1">
        <v>8435</v>
      </c>
      <c r="E64" s="1">
        <v>3425</v>
      </c>
      <c r="F64" s="3">
        <v>0.78712962962962962</v>
      </c>
    </row>
    <row r="65" spans="1:6" x14ac:dyDescent="0.3">
      <c r="A65" s="1">
        <v>20</v>
      </c>
      <c r="B65" s="1">
        <v>9585</v>
      </c>
      <c r="C65" s="1">
        <v>9010</v>
      </c>
      <c r="D65" s="1">
        <v>8790</v>
      </c>
      <c r="E65" s="1">
        <v>3570</v>
      </c>
      <c r="F65" s="3">
        <v>0.82010416666666663</v>
      </c>
    </row>
    <row r="67" spans="1:6" x14ac:dyDescent="0.3">
      <c r="A67" t="s">
        <v>148</v>
      </c>
      <c r="B67" t="s">
        <v>17</v>
      </c>
      <c r="C67" t="s">
        <v>18</v>
      </c>
      <c r="D67" t="s">
        <v>19</v>
      </c>
      <c r="E67" t="s">
        <v>20</v>
      </c>
      <c r="F67" t="s">
        <v>22</v>
      </c>
    </row>
    <row r="68" spans="1:6" x14ac:dyDescent="0.3">
      <c r="A68" s="1">
        <v>1</v>
      </c>
      <c r="B68" s="1">
        <v>1185</v>
      </c>
      <c r="C68" s="1">
        <v>765</v>
      </c>
      <c r="D68" s="1">
        <v>550</v>
      </c>
      <c r="E68" s="1">
        <v>510</v>
      </c>
      <c r="F68" s="3">
        <v>5.9722222222222225E-2</v>
      </c>
    </row>
    <row r="69" spans="1:6" x14ac:dyDescent="0.3">
      <c r="A69" s="1">
        <v>2</v>
      </c>
      <c r="B69" s="1">
        <v>2065</v>
      </c>
      <c r="C69" s="1">
        <v>1330</v>
      </c>
      <c r="D69" s="1">
        <v>960</v>
      </c>
      <c r="E69" s="1">
        <v>890</v>
      </c>
      <c r="F69" s="3">
        <v>0.10398148148148148</v>
      </c>
    </row>
    <row r="70" spans="1:6" x14ac:dyDescent="0.3">
      <c r="A70" s="1">
        <v>3</v>
      </c>
      <c r="B70" s="1">
        <v>2855</v>
      </c>
      <c r="C70" s="1">
        <v>1840</v>
      </c>
      <c r="D70" s="1">
        <v>1325</v>
      </c>
      <c r="E70" s="1">
        <v>1230</v>
      </c>
      <c r="F70" s="3">
        <v>0.14381944444444444</v>
      </c>
    </row>
    <row r="71" spans="1:6" x14ac:dyDescent="0.3">
      <c r="A71" s="1">
        <v>4</v>
      </c>
      <c r="B71" s="1">
        <v>3590</v>
      </c>
      <c r="C71" s="1">
        <v>2320</v>
      </c>
      <c r="D71" s="1">
        <v>1665</v>
      </c>
      <c r="E71" s="1">
        <v>1545</v>
      </c>
      <c r="F71" s="3">
        <v>0.18104166666666666</v>
      </c>
    </row>
    <row r="72" spans="1:6" x14ac:dyDescent="0.3">
      <c r="A72" s="1">
        <v>5</v>
      </c>
      <c r="B72" s="1">
        <v>4295</v>
      </c>
      <c r="C72" s="1">
        <v>2770</v>
      </c>
      <c r="D72" s="1">
        <v>1995</v>
      </c>
      <c r="E72" s="1">
        <v>1850</v>
      </c>
      <c r="F72" s="3">
        <v>0.21642361111111111</v>
      </c>
    </row>
    <row r="73" spans="1:6" x14ac:dyDescent="0.3">
      <c r="A73" s="1">
        <v>6</v>
      </c>
      <c r="B73" s="1">
        <v>4970</v>
      </c>
      <c r="C73" s="1">
        <v>3210</v>
      </c>
      <c r="D73" s="1">
        <v>2305</v>
      </c>
      <c r="E73" s="1">
        <v>2140</v>
      </c>
      <c r="F73" s="3">
        <v>0.25041666666666668</v>
      </c>
    </row>
    <row r="74" spans="1:6" x14ac:dyDescent="0.3">
      <c r="A74" s="1">
        <v>7</v>
      </c>
      <c r="B74" s="1">
        <v>5620</v>
      </c>
      <c r="C74" s="1">
        <v>3630</v>
      </c>
      <c r="D74" s="1">
        <v>2610</v>
      </c>
      <c r="E74" s="1">
        <v>2420</v>
      </c>
      <c r="F74" s="3">
        <v>0.28327546296296297</v>
      </c>
    </row>
    <row r="75" spans="1:6" x14ac:dyDescent="0.3">
      <c r="A75" s="1">
        <v>8</v>
      </c>
      <c r="B75" s="1">
        <v>6255</v>
      </c>
      <c r="C75" s="1">
        <v>4040</v>
      </c>
      <c r="D75" s="1">
        <v>2905</v>
      </c>
      <c r="E75" s="1">
        <v>2690</v>
      </c>
      <c r="F75" s="3">
        <v>0.31521990740740741</v>
      </c>
    </row>
    <row r="76" spans="1:6" x14ac:dyDescent="0.3">
      <c r="A76" s="1">
        <v>9</v>
      </c>
      <c r="B76" s="1">
        <v>6870</v>
      </c>
      <c r="C76" s="1">
        <v>4435</v>
      </c>
      <c r="D76" s="1">
        <v>3190</v>
      </c>
      <c r="E76" s="1">
        <v>2960</v>
      </c>
      <c r="F76" s="3">
        <v>0.34636574074074072</v>
      </c>
    </row>
    <row r="77" spans="1:6" x14ac:dyDescent="0.3">
      <c r="A77" s="1">
        <v>10</v>
      </c>
      <c r="B77" s="1">
        <v>7475</v>
      </c>
      <c r="C77" s="1">
        <v>4825</v>
      </c>
      <c r="D77" s="1">
        <v>3470</v>
      </c>
      <c r="E77" s="1">
        <v>3220</v>
      </c>
      <c r="F77" s="3">
        <v>0.37681712962962965</v>
      </c>
    </row>
    <row r="78" spans="1:6" x14ac:dyDescent="0.3">
      <c r="A78" s="1">
        <v>11</v>
      </c>
      <c r="B78" s="1">
        <v>8070</v>
      </c>
      <c r="C78" s="1">
        <v>5210</v>
      </c>
      <c r="D78" s="1">
        <v>3745</v>
      </c>
      <c r="E78" s="1">
        <v>3475</v>
      </c>
      <c r="F78" s="3">
        <v>0.40667824074074072</v>
      </c>
    </row>
    <row r="79" spans="1:6" x14ac:dyDescent="0.3">
      <c r="A79" s="1">
        <v>12</v>
      </c>
      <c r="B79" s="1">
        <v>8650</v>
      </c>
      <c r="C79" s="1">
        <v>5585</v>
      </c>
      <c r="D79" s="1">
        <v>4015</v>
      </c>
      <c r="E79" s="1">
        <v>3725</v>
      </c>
      <c r="F79" s="3">
        <v>0.43599537037037039</v>
      </c>
    </row>
    <row r="80" spans="1:6" x14ac:dyDescent="0.3">
      <c r="A80" s="1">
        <v>13</v>
      </c>
      <c r="B80" s="1">
        <v>9225</v>
      </c>
      <c r="C80" s="1">
        <v>5955</v>
      </c>
      <c r="D80" s="1">
        <v>4280</v>
      </c>
      <c r="E80" s="1">
        <v>3970</v>
      </c>
      <c r="F80" s="3">
        <v>0.46482638888888889</v>
      </c>
    </row>
    <row r="81" spans="1:6" x14ac:dyDescent="0.3">
      <c r="A81" s="1">
        <v>14</v>
      </c>
      <c r="B81" s="1">
        <v>9785</v>
      </c>
      <c r="C81" s="1">
        <v>6320</v>
      </c>
      <c r="D81" s="1">
        <v>4540</v>
      </c>
      <c r="E81" s="1">
        <v>4210</v>
      </c>
      <c r="F81" s="3">
        <v>0.49321759259259257</v>
      </c>
    </row>
    <row r="82" spans="1:6" x14ac:dyDescent="0.3">
      <c r="A82" s="1">
        <v>15</v>
      </c>
      <c r="B82" s="1">
        <v>10340</v>
      </c>
      <c r="C82" s="1">
        <v>6675</v>
      </c>
      <c r="D82" s="1">
        <v>4800</v>
      </c>
      <c r="E82" s="1">
        <v>4450</v>
      </c>
      <c r="F82" s="3">
        <v>0.52120370370370372</v>
      </c>
    </row>
    <row r="83" spans="1:6" x14ac:dyDescent="0.3">
      <c r="A83" s="1">
        <v>16</v>
      </c>
      <c r="B83" s="1">
        <v>10890</v>
      </c>
      <c r="C83" s="1">
        <v>7030</v>
      </c>
      <c r="D83" s="1">
        <v>5055</v>
      </c>
      <c r="E83" s="1">
        <v>4685</v>
      </c>
      <c r="F83" s="3">
        <v>0.54881944444444442</v>
      </c>
    </row>
    <row r="84" spans="1:6" x14ac:dyDescent="0.3">
      <c r="A84" s="1">
        <v>17</v>
      </c>
      <c r="B84" s="1">
        <v>11430</v>
      </c>
      <c r="C84" s="1">
        <v>7380</v>
      </c>
      <c r="D84" s="1">
        <v>5305</v>
      </c>
      <c r="E84" s="1">
        <v>4920</v>
      </c>
      <c r="F84" s="3">
        <v>0.57609953703703709</v>
      </c>
    </row>
    <row r="85" spans="1:6" x14ac:dyDescent="0.3">
      <c r="A85" s="1">
        <v>18</v>
      </c>
      <c r="B85" s="1">
        <v>11965</v>
      </c>
      <c r="C85" s="1">
        <v>7725</v>
      </c>
      <c r="D85" s="1">
        <v>5555</v>
      </c>
      <c r="E85" s="1">
        <v>5150</v>
      </c>
      <c r="F85" s="3">
        <v>0.60305555555555557</v>
      </c>
    </row>
    <row r="86" spans="1:6" x14ac:dyDescent="0.3">
      <c r="A86" s="1">
        <v>19</v>
      </c>
      <c r="B86" s="1">
        <v>12495</v>
      </c>
      <c r="C86" s="1">
        <v>8065</v>
      </c>
      <c r="D86" s="1">
        <v>5800</v>
      </c>
      <c r="E86" s="1">
        <v>5375</v>
      </c>
      <c r="F86" s="3">
        <v>0.62971064814814814</v>
      </c>
    </row>
    <row r="87" spans="1:6" x14ac:dyDescent="0.3">
      <c r="A87" s="1">
        <v>20</v>
      </c>
      <c r="B87" s="1">
        <v>13020</v>
      </c>
      <c r="C87" s="1">
        <v>8405</v>
      </c>
      <c r="D87" s="1">
        <v>6040</v>
      </c>
      <c r="E87" s="1">
        <v>5605</v>
      </c>
      <c r="F87" s="3">
        <v>0.65608796296296301</v>
      </c>
    </row>
    <row r="89" spans="1:6" x14ac:dyDescent="0.3">
      <c r="A89" t="s">
        <v>147</v>
      </c>
      <c r="B89" t="s">
        <v>17</v>
      </c>
      <c r="C89" t="s">
        <v>18</v>
      </c>
      <c r="D89" t="s">
        <v>19</v>
      </c>
      <c r="E89" t="s">
        <v>20</v>
      </c>
      <c r="F89" t="s">
        <v>22</v>
      </c>
    </row>
    <row r="90" spans="1:6" x14ac:dyDescent="0.3">
      <c r="A90" s="1">
        <v>1</v>
      </c>
      <c r="B90" s="1">
        <v>1400</v>
      </c>
      <c r="C90" s="1">
        <v>1085</v>
      </c>
      <c r="D90" s="1">
        <v>1115</v>
      </c>
      <c r="E90" s="1">
        <v>380</v>
      </c>
      <c r="F90" s="3">
        <v>0.11284722222222222</v>
      </c>
    </row>
    <row r="91" spans="1:6" x14ac:dyDescent="0.3">
      <c r="A91" s="1">
        <v>2</v>
      </c>
      <c r="B91" s="1">
        <v>2435</v>
      </c>
      <c r="C91" s="1">
        <v>1885</v>
      </c>
      <c r="D91" s="1">
        <v>1940</v>
      </c>
      <c r="E91" s="1">
        <v>655</v>
      </c>
      <c r="F91" s="3">
        <v>0.19648148148148148</v>
      </c>
    </row>
    <row r="92" spans="1:6" x14ac:dyDescent="0.3">
      <c r="A92" s="1">
        <v>3</v>
      </c>
      <c r="B92" s="1">
        <v>3365</v>
      </c>
      <c r="C92" s="1">
        <v>2605</v>
      </c>
      <c r="D92" s="1">
        <v>2685</v>
      </c>
      <c r="E92" s="1">
        <v>910</v>
      </c>
      <c r="F92" s="3">
        <v>0.27175925925925926</v>
      </c>
    </row>
    <row r="93" spans="1:6" x14ac:dyDescent="0.3">
      <c r="A93" s="1">
        <v>4</v>
      </c>
      <c r="B93" s="1">
        <v>4235</v>
      </c>
      <c r="C93" s="1">
        <v>3280</v>
      </c>
      <c r="D93" s="1">
        <v>3380</v>
      </c>
      <c r="E93" s="1">
        <v>1145</v>
      </c>
      <c r="F93" s="3">
        <v>0.34208333333333335</v>
      </c>
    </row>
    <row r="94" spans="1:6" x14ac:dyDescent="0.3">
      <c r="A94" s="1">
        <v>5</v>
      </c>
      <c r="B94" s="1">
        <v>5065</v>
      </c>
      <c r="C94" s="1">
        <v>3925</v>
      </c>
      <c r="D94" s="1">
        <v>4040</v>
      </c>
      <c r="E94" s="1">
        <v>1370</v>
      </c>
      <c r="F94" s="3">
        <v>0.40894675925925927</v>
      </c>
    </row>
    <row r="95" spans="1:6" x14ac:dyDescent="0.3">
      <c r="A95" s="1">
        <v>6</v>
      </c>
      <c r="B95" s="1">
        <v>5860</v>
      </c>
      <c r="C95" s="1">
        <v>4540</v>
      </c>
      <c r="D95" s="1">
        <v>4675</v>
      </c>
      <c r="E95" s="1">
        <v>1585</v>
      </c>
      <c r="F95" s="3">
        <v>0.47315972222222225</v>
      </c>
    </row>
    <row r="96" spans="1:6" x14ac:dyDescent="0.3">
      <c r="A96" s="1">
        <v>7</v>
      </c>
      <c r="B96" s="1">
        <v>6630</v>
      </c>
      <c r="C96" s="1">
        <v>5135</v>
      </c>
      <c r="D96" s="1">
        <v>5290</v>
      </c>
      <c r="E96" s="1">
        <v>1790</v>
      </c>
      <c r="F96" s="3">
        <v>0.5352662037037037</v>
      </c>
    </row>
    <row r="97" spans="1:6" x14ac:dyDescent="0.3">
      <c r="A97" s="1">
        <v>8</v>
      </c>
      <c r="B97" s="1">
        <v>7375</v>
      </c>
      <c r="C97" s="1">
        <v>5715</v>
      </c>
      <c r="D97" s="1">
        <v>5885</v>
      </c>
      <c r="E97" s="1">
        <v>1990</v>
      </c>
      <c r="F97" s="3">
        <v>0.59561342592592592</v>
      </c>
    </row>
    <row r="98" spans="1:6" x14ac:dyDescent="0.3">
      <c r="A98" s="1">
        <v>9</v>
      </c>
      <c r="B98" s="1">
        <v>8105</v>
      </c>
      <c r="C98" s="1">
        <v>6280</v>
      </c>
      <c r="D98" s="1">
        <v>6465</v>
      </c>
      <c r="E98" s="1">
        <v>2190</v>
      </c>
      <c r="F98" s="3">
        <v>0.65446759259259257</v>
      </c>
    </row>
    <row r="99" spans="1:6" x14ac:dyDescent="0.3">
      <c r="A99" s="1">
        <v>10</v>
      </c>
      <c r="B99" s="1">
        <v>8820</v>
      </c>
      <c r="C99" s="1">
        <v>6830</v>
      </c>
      <c r="D99" s="1">
        <v>7035</v>
      </c>
      <c r="E99" s="1">
        <v>2380</v>
      </c>
      <c r="F99" s="3">
        <v>0.71201388888888884</v>
      </c>
    </row>
    <row r="100" spans="1:6" x14ac:dyDescent="0.3">
      <c r="A100" s="1">
        <v>11</v>
      </c>
      <c r="B100" s="1">
        <v>9515</v>
      </c>
      <c r="C100" s="1">
        <v>7370</v>
      </c>
      <c r="D100" s="1">
        <v>7595</v>
      </c>
      <c r="E100" s="1">
        <v>2570</v>
      </c>
      <c r="F100" s="3">
        <v>0.76842592592592596</v>
      </c>
    </row>
    <row r="101" spans="1:6" x14ac:dyDescent="0.3">
      <c r="A101" s="1">
        <v>12</v>
      </c>
      <c r="B101" s="1">
        <v>10200</v>
      </c>
      <c r="C101" s="1">
        <v>7905</v>
      </c>
      <c r="D101" s="1">
        <v>8140</v>
      </c>
      <c r="E101" s="1">
        <v>2755</v>
      </c>
      <c r="F101" s="3">
        <v>0.82383101851851848</v>
      </c>
    </row>
    <row r="102" spans="1:6" x14ac:dyDescent="0.3">
      <c r="A102" s="1">
        <v>13</v>
      </c>
      <c r="B102" s="1">
        <v>10875</v>
      </c>
      <c r="C102" s="1">
        <v>8425</v>
      </c>
      <c r="D102" s="1">
        <v>8680</v>
      </c>
      <c r="E102" s="1">
        <v>2940</v>
      </c>
      <c r="F102" s="3">
        <v>0.87831018518518522</v>
      </c>
    </row>
    <row r="103" spans="1:6" x14ac:dyDescent="0.3">
      <c r="A103" s="1">
        <v>14</v>
      </c>
      <c r="B103" s="1">
        <v>11540</v>
      </c>
      <c r="C103" s="1">
        <v>8940</v>
      </c>
      <c r="D103" s="1">
        <v>9210</v>
      </c>
      <c r="E103" s="1">
        <v>3120</v>
      </c>
      <c r="F103" s="3">
        <v>0.9319560185185185</v>
      </c>
    </row>
    <row r="104" spans="1:6" x14ac:dyDescent="0.3">
      <c r="A104" s="1">
        <v>15</v>
      </c>
      <c r="B104" s="1">
        <v>12195</v>
      </c>
      <c r="C104" s="1">
        <v>9445</v>
      </c>
      <c r="D104" s="1">
        <v>9730</v>
      </c>
      <c r="E104" s="1">
        <v>3295</v>
      </c>
      <c r="F104" s="3">
        <v>0.984837962962963</v>
      </c>
    </row>
    <row r="105" spans="1:6" x14ac:dyDescent="0.3">
      <c r="A105" s="1">
        <v>16</v>
      </c>
      <c r="B105" s="1">
        <v>12840</v>
      </c>
      <c r="C105" s="1">
        <v>9950</v>
      </c>
      <c r="D105" s="1">
        <v>10245</v>
      </c>
      <c r="E105" s="1">
        <v>3470</v>
      </c>
      <c r="F105" s="4">
        <v>1.0370138888888889</v>
      </c>
    </row>
    <row r="106" spans="1:6" x14ac:dyDescent="0.3">
      <c r="A106" s="1">
        <v>17</v>
      </c>
      <c r="B106" s="1">
        <v>13480</v>
      </c>
      <c r="C106" s="1">
        <v>10440</v>
      </c>
      <c r="D106" s="1">
        <v>10755</v>
      </c>
      <c r="E106" s="1">
        <v>3640</v>
      </c>
      <c r="F106" s="4">
        <v>1.0885532407407408</v>
      </c>
    </row>
    <row r="107" spans="1:6" x14ac:dyDescent="0.3">
      <c r="A107" s="1">
        <v>18</v>
      </c>
      <c r="B107" s="1">
        <v>14110</v>
      </c>
      <c r="C107" s="1">
        <v>10930</v>
      </c>
      <c r="D107" s="1">
        <v>11260</v>
      </c>
      <c r="E107" s="1">
        <v>3810</v>
      </c>
      <c r="F107" s="4">
        <v>1.1394907407407406</v>
      </c>
    </row>
    <row r="108" spans="1:6" x14ac:dyDescent="0.3">
      <c r="A108" s="1">
        <v>19</v>
      </c>
      <c r="B108" s="1">
        <v>14735</v>
      </c>
      <c r="C108" s="1">
        <v>11415</v>
      </c>
      <c r="D108" s="1">
        <v>11755</v>
      </c>
      <c r="E108" s="1">
        <v>3980</v>
      </c>
      <c r="F108" s="4">
        <v>1.189849537037037</v>
      </c>
    </row>
    <row r="109" spans="1:6" x14ac:dyDescent="0.3">
      <c r="A109" s="1">
        <v>20</v>
      </c>
      <c r="B109" s="1">
        <v>15350</v>
      </c>
      <c r="C109" s="1">
        <v>11890</v>
      </c>
      <c r="D109" s="1">
        <v>12250</v>
      </c>
      <c r="E109" s="1">
        <v>4145</v>
      </c>
      <c r="F109" s="4">
        <v>1.2396990740740741</v>
      </c>
    </row>
    <row r="111" spans="1:6" x14ac:dyDescent="0.3">
      <c r="A111" t="s">
        <v>146</v>
      </c>
      <c r="B111" t="s">
        <v>17</v>
      </c>
      <c r="C111" t="s">
        <v>18</v>
      </c>
      <c r="D111" t="s">
        <v>19</v>
      </c>
      <c r="E111" t="s">
        <v>20</v>
      </c>
      <c r="F111" t="s">
        <v>22</v>
      </c>
    </row>
    <row r="112" spans="1:6" x14ac:dyDescent="0.3">
      <c r="A112" s="1">
        <v>1</v>
      </c>
      <c r="B112" s="1">
        <v>1715</v>
      </c>
      <c r="C112" s="1">
        <v>1925</v>
      </c>
      <c r="D112" s="1">
        <v>1905</v>
      </c>
      <c r="E112" s="1">
        <v>430</v>
      </c>
      <c r="F112" s="3">
        <v>0.12708333333333333</v>
      </c>
    </row>
    <row r="113" spans="1:6" x14ac:dyDescent="0.3">
      <c r="A113" s="1">
        <v>2</v>
      </c>
      <c r="B113" s="1">
        <v>2980</v>
      </c>
      <c r="C113" s="1">
        <v>3345</v>
      </c>
      <c r="D113" s="1">
        <v>3310</v>
      </c>
      <c r="E113" s="1">
        <v>750</v>
      </c>
      <c r="F113" s="3">
        <v>0.22126157407407407</v>
      </c>
    </row>
    <row r="114" spans="1:6" x14ac:dyDescent="0.3">
      <c r="A114" s="1">
        <v>3</v>
      </c>
      <c r="B114" s="1">
        <v>4125</v>
      </c>
      <c r="C114" s="1">
        <v>4630</v>
      </c>
      <c r="D114" s="1">
        <v>4580</v>
      </c>
      <c r="E114" s="1">
        <v>1035</v>
      </c>
      <c r="F114" s="3">
        <v>0.30604166666666666</v>
      </c>
    </row>
    <row r="115" spans="1:6" x14ac:dyDescent="0.3">
      <c r="A115" s="1">
        <v>4</v>
      </c>
      <c r="B115" s="1">
        <v>5190</v>
      </c>
      <c r="C115" s="1">
        <v>5830</v>
      </c>
      <c r="D115" s="1">
        <v>5765</v>
      </c>
      <c r="E115" s="1">
        <v>1305</v>
      </c>
      <c r="F115" s="3">
        <v>0.38524305555555555</v>
      </c>
    </row>
    <row r="116" spans="1:6" x14ac:dyDescent="0.3">
      <c r="A116" s="1">
        <v>5</v>
      </c>
      <c r="B116" s="1">
        <v>6205</v>
      </c>
      <c r="C116" s="1">
        <v>6965</v>
      </c>
      <c r="D116" s="1">
        <v>6895</v>
      </c>
      <c r="E116" s="1">
        <v>1560</v>
      </c>
      <c r="F116" s="3">
        <v>0.46053240740740742</v>
      </c>
    </row>
    <row r="117" spans="1:6" x14ac:dyDescent="0.3">
      <c r="A117" s="1">
        <v>6</v>
      </c>
      <c r="B117" s="1">
        <v>7180</v>
      </c>
      <c r="C117" s="1">
        <v>8060</v>
      </c>
      <c r="D117" s="1">
        <v>7975</v>
      </c>
      <c r="E117" s="1">
        <v>1805</v>
      </c>
      <c r="F117" s="3">
        <v>0.53285879629629629</v>
      </c>
    </row>
    <row r="118" spans="1:6" x14ac:dyDescent="0.3">
      <c r="A118" s="1">
        <v>7</v>
      </c>
      <c r="B118" s="1">
        <v>8125</v>
      </c>
      <c r="C118" s="1">
        <v>9120</v>
      </c>
      <c r="D118" s="1">
        <v>9025</v>
      </c>
      <c r="E118" s="1">
        <v>2040</v>
      </c>
      <c r="F118" s="3">
        <v>0.6027893518518519</v>
      </c>
    </row>
    <row r="119" spans="1:6" x14ac:dyDescent="0.3">
      <c r="A119" s="1">
        <v>8</v>
      </c>
      <c r="B119" s="1">
        <v>9040</v>
      </c>
      <c r="C119" s="1">
        <v>10145</v>
      </c>
      <c r="D119" s="1">
        <v>10040</v>
      </c>
      <c r="E119" s="1">
        <v>2270</v>
      </c>
      <c r="F119" s="3">
        <v>0.67075231481481479</v>
      </c>
    </row>
    <row r="120" spans="1:6" x14ac:dyDescent="0.3">
      <c r="A120" s="1">
        <v>9</v>
      </c>
      <c r="B120" s="1">
        <v>9930</v>
      </c>
      <c r="C120" s="1">
        <v>11150</v>
      </c>
      <c r="D120" s="1">
        <v>11035</v>
      </c>
      <c r="E120" s="1">
        <v>2495</v>
      </c>
      <c r="F120" s="3">
        <v>0.73702546296296301</v>
      </c>
    </row>
    <row r="121" spans="1:6" x14ac:dyDescent="0.3">
      <c r="A121" s="1">
        <v>10</v>
      </c>
      <c r="B121" s="1">
        <v>10805</v>
      </c>
      <c r="C121" s="1">
        <v>12130</v>
      </c>
      <c r="D121" s="1">
        <v>12005</v>
      </c>
      <c r="E121" s="1">
        <v>2715</v>
      </c>
      <c r="F121" s="3">
        <v>0.80184027777777778</v>
      </c>
    </row>
    <row r="122" spans="1:6" x14ac:dyDescent="0.3">
      <c r="A122" s="1">
        <v>11</v>
      </c>
      <c r="B122" s="1">
        <v>11660</v>
      </c>
      <c r="C122" s="1">
        <v>13090</v>
      </c>
      <c r="D122" s="1">
        <v>12955</v>
      </c>
      <c r="E122" s="1">
        <v>2930</v>
      </c>
      <c r="F122" s="3">
        <v>0.86537037037037035</v>
      </c>
    </row>
    <row r="123" spans="1:6" x14ac:dyDescent="0.3">
      <c r="A123" s="1">
        <v>12</v>
      </c>
      <c r="B123" s="1">
        <v>12500</v>
      </c>
      <c r="C123" s="1">
        <v>14035</v>
      </c>
      <c r="D123" s="1">
        <v>13890</v>
      </c>
      <c r="E123" s="1">
        <v>3140</v>
      </c>
      <c r="F123" s="3">
        <v>0.92775462962962962</v>
      </c>
    </row>
    <row r="124" spans="1:6" x14ac:dyDescent="0.3">
      <c r="A124" s="1">
        <v>13</v>
      </c>
      <c r="B124" s="1">
        <v>13330</v>
      </c>
      <c r="C124" s="1">
        <v>14965</v>
      </c>
      <c r="D124" s="1">
        <v>14805</v>
      </c>
      <c r="E124" s="1">
        <v>3345</v>
      </c>
      <c r="F124" s="3">
        <v>0.98910879629629633</v>
      </c>
    </row>
    <row r="125" spans="1:6" x14ac:dyDescent="0.3">
      <c r="A125" s="1">
        <v>14</v>
      </c>
      <c r="B125" s="1">
        <v>14145</v>
      </c>
      <c r="C125" s="1">
        <v>15875</v>
      </c>
      <c r="D125" s="1">
        <v>15710</v>
      </c>
      <c r="E125" s="1">
        <v>3550</v>
      </c>
      <c r="F125" s="4">
        <v>1.0495254629629629</v>
      </c>
    </row>
    <row r="126" spans="1:6" x14ac:dyDescent="0.3">
      <c r="A126" s="1">
        <v>15</v>
      </c>
      <c r="B126" s="1">
        <v>14945</v>
      </c>
      <c r="C126" s="1">
        <v>16780</v>
      </c>
      <c r="D126" s="1">
        <v>16605</v>
      </c>
      <c r="E126" s="1">
        <v>3755</v>
      </c>
      <c r="F126" s="4">
        <v>1.1090740740740741</v>
      </c>
    </row>
    <row r="127" spans="1:6" x14ac:dyDescent="0.3">
      <c r="A127" s="1">
        <v>16</v>
      </c>
      <c r="B127" s="1">
        <v>15735</v>
      </c>
      <c r="C127" s="1">
        <v>17665</v>
      </c>
      <c r="D127" s="1">
        <v>17485</v>
      </c>
      <c r="E127" s="1">
        <v>3950</v>
      </c>
      <c r="F127" s="4">
        <v>1.1678472222222223</v>
      </c>
    </row>
    <row r="128" spans="1:6" x14ac:dyDescent="0.3">
      <c r="A128" s="1">
        <v>17</v>
      </c>
      <c r="B128" s="1">
        <v>16520</v>
      </c>
      <c r="C128" s="1">
        <v>18545</v>
      </c>
      <c r="D128" s="1">
        <v>18350</v>
      </c>
      <c r="E128" s="1">
        <v>4150</v>
      </c>
      <c r="F128" s="4">
        <v>1.2258796296296297</v>
      </c>
    </row>
    <row r="129" spans="1:6" x14ac:dyDescent="0.3">
      <c r="A129" s="1">
        <v>18</v>
      </c>
      <c r="B129" s="1">
        <v>17290</v>
      </c>
      <c r="C129" s="1">
        <v>19415</v>
      </c>
      <c r="D129" s="1">
        <v>19210</v>
      </c>
      <c r="E129" s="1">
        <v>4340</v>
      </c>
      <c r="F129" s="4">
        <v>1.2832407407407407</v>
      </c>
    </row>
    <row r="130" spans="1:6" x14ac:dyDescent="0.3">
      <c r="A130" s="1">
        <v>19</v>
      </c>
      <c r="B130" s="1">
        <v>18055</v>
      </c>
      <c r="C130" s="1">
        <v>20270</v>
      </c>
      <c r="D130" s="1">
        <v>20060</v>
      </c>
      <c r="E130" s="1">
        <v>4535</v>
      </c>
      <c r="F130" s="4">
        <v>1.3399537037037037</v>
      </c>
    </row>
    <row r="131" spans="1:6" x14ac:dyDescent="0.3">
      <c r="A131" s="1">
        <v>20</v>
      </c>
      <c r="B131" s="1">
        <v>18815</v>
      </c>
      <c r="C131" s="1">
        <v>21120</v>
      </c>
      <c r="D131" s="1">
        <v>20900</v>
      </c>
      <c r="E131" s="1">
        <v>4725</v>
      </c>
      <c r="F131" s="4">
        <v>1.396087962962963</v>
      </c>
    </row>
    <row r="133" spans="1:6" x14ac:dyDescent="0.3">
      <c r="A133" t="s">
        <v>145</v>
      </c>
      <c r="B133" t="s">
        <v>17</v>
      </c>
      <c r="C133" t="s">
        <v>18</v>
      </c>
      <c r="D133" t="s">
        <v>19</v>
      </c>
      <c r="E133" t="s">
        <v>20</v>
      </c>
      <c r="F133" t="s">
        <v>22</v>
      </c>
    </row>
    <row r="134" spans="1:6" x14ac:dyDescent="0.3">
      <c r="A134" s="1">
        <v>1</v>
      </c>
      <c r="B134" s="1">
        <v>3375</v>
      </c>
      <c r="C134" s="1">
        <v>1190</v>
      </c>
      <c r="D134" s="1">
        <v>1415</v>
      </c>
      <c r="E134" s="1">
        <v>325</v>
      </c>
      <c r="F134" s="3">
        <v>0.16666666666666666</v>
      </c>
    </row>
    <row r="135" spans="1:6" x14ac:dyDescent="0.3">
      <c r="A135" s="1">
        <v>2</v>
      </c>
      <c r="B135" s="1">
        <v>5875</v>
      </c>
      <c r="C135" s="1">
        <v>2070</v>
      </c>
      <c r="D135" s="1">
        <v>2460</v>
      </c>
      <c r="E135" s="1">
        <v>565</v>
      </c>
      <c r="F135" s="3">
        <v>0.29018518518518521</v>
      </c>
    </row>
    <row r="136" spans="1:6" x14ac:dyDescent="0.3">
      <c r="A136" s="1">
        <v>3</v>
      </c>
      <c r="B136" s="1">
        <v>8130</v>
      </c>
      <c r="C136" s="1">
        <v>2860</v>
      </c>
      <c r="D136" s="1">
        <v>3400</v>
      </c>
      <c r="E136" s="1">
        <v>785</v>
      </c>
      <c r="F136" s="3">
        <v>0.40136574074074072</v>
      </c>
    </row>
    <row r="137" spans="1:6" x14ac:dyDescent="0.3">
      <c r="A137" s="1">
        <v>4</v>
      </c>
      <c r="B137" s="1">
        <v>10230</v>
      </c>
      <c r="C137" s="1">
        <v>3600</v>
      </c>
      <c r="D137" s="1">
        <v>4280</v>
      </c>
      <c r="E137" s="1">
        <v>985</v>
      </c>
      <c r="F137" s="3">
        <v>0.5052430555555556</v>
      </c>
    </row>
    <row r="138" spans="1:6" x14ac:dyDescent="0.3">
      <c r="A138" s="1">
        <v>5</v>
      </c>
      <c r="B138" s="1">
        <v>12230</v>
      </c>
      <c r="C138" s="1">
        <v>4305</v>
      </c>
      <c r="D138" s="1">
        <v>5120</v>
      </c>
      <c r="E138" s="1">
        <v>1180</v>
      </c>
      <c r="F138" s="3">
        <v>0.60398148148148145</v>
      </c>
    </row>
    <row r="139" spans="1:6" x14ac:dyDescent="0.3">
      <c r="A139" s="1">
        <v>6</v>
      </c>
      <c r="B139" s="1">
        <v>14150</v>
      </c>
      <c r="C139" s="1">
        <v>4980</v>
      </c>
      <c r="D139" s="1">
        <v>5925</v>
      </c>
      <c r="E139" s="1">
        <v>1365</v>
      </c>
      <c r="F139" s="3">
        <v>0.69883101851851848</v>
      </c>
    </row>
    <row r="140" spans="1:6" x14ac:dyDescent="0.3">
      <c r="A140" s="1">
        <v>7</v>
      </c>
      <c r="B140" s="1">
        <v>16010</v>
      </c>
      <c r="C140" s="1">
        <v>5635</v>
      </c>
      <c r="D140" s="1">
        <v>6700</v>
      </c>
      <c r="E140" s="1">
        <v>1540</v>
      </c>
      <c r="F140" s="3">
        <v>0.79054398148148153</v>
      </c>
    </row>
    <row r="141" spans="1:6" x14ac:dyDescent="0.3">
      <c r="A141" s="1">
        <v>8</v>
      </c>
      <c r="B141" s="1">
        <v>17815</v>
      </c>
      <c r="C141" s="1">
        <v>6270</v>
      </c>
      <c r="D141" s="1">
        <v>7455</v>
      </c>
      <c r="E141" s="1">
        <v>1715</v>
      </c>
      <c r="F141" s="3">
        <v>0.87967592592592592</v>
      </c>
    </row>
    <row r="142" spans="1:6" x14ac:dyDescent="0.3">
      <c r="A142" s="1">
        <v>9</v>
      </c>
      <c r="B142" s="1">
        <v>19575</v>
      </c>
      <c r="C142" s="1">
        <v>6885</v>
      </c>
      <c r="D142" s="1">
        <v>8190</v>
      </c>
      <c r="E142" s="1">
        <v>1885</v>
      </c>
      <c r="F142" s="3">
        <v>0.96658564814814818</v>
      </c>
    </row>
    <row r="143" spans="1:6" x14ac:dyDescent="0.3">
      <c r="A143" s="1">
        <v>10</v>
      </c>
      <c r="B143" s="1">
        <v>21295</v>
      </c>
      <c r="C143" s="1">
        <v>7495</v>
      </c>
      <c r="D143" s="1">
        <v>8910</v>
      </c>
      <c r="E143" s="1">
        <v>2050</v>
      </c>
      <c r="F143" s="4">
        <v>1.0515972222222223</v>
      </c>
    </row>
    <row r="144" spans="1:6" x14ac:dyDescent="0.3">
      <c r="A144" s="1">
        <v>11</v>
      </c>
      <c r="B144" s="1">
        <v>22980</v>
      </c>
      <c r="C144" s="1">
        <v>8085</v>
      </c>
      <c r="D144" s="1">
        <v>9620</v>
      </c>
      <c r="E144" s="1">
        <v>2215</v>
      </c>
      <c r="F144" s="4">
        <v>1.1349189814814815</v>
      </c>
    </row>
    <row r="145" spans="1:6" x14ac:dyDescent="0.3">
      <c r="A145" s="1">
        <v>12</v>
      </c>
      <c r="B145" s="1">
        <v>24640</v>
      </c>
      <c r="C145" s="1">
        <v>8670</v>
      </c>
      <c r="D145" s="1">
        <v>10310</v>
      </c>
      <c r="E145" s="1">
        <v>2375</v>
      </c>
      <c r="F145" s="4">
        <v>1.216724537037037</v>
      </c>
    </row>
    <row r="146" spans="1:6" x14ac:dyDescent="0.3">
      <c r="A146" s="1">
        <v>13</v>
      </c>
      <c r="B146" s="1">
        <v>26270</v>
      </c>
      <c r="C146" s="1">
        <v>9240</v>
      </c>
      <c r="D146" s="1">
        <v>10995</v>
      </c>
      <c r="E146" s="1">
        <v>2530</v>
      </c>
      <c r="F146" s="4">
        <v>1.2971874999999999</v>
      </c>
    </row>
    <row r="147" spans="1:6" x14ac:dyDescent="0.3">
      <c r="A147" s="1">
        <v>14</v>
      </c>
      <c r="B147" s="1">
        <v>27875</v>
      </c>
      <c r="C147" s="1">
        <v>9805</v>
      </c>
      <c r="D147" s="1">
        <v>11665</v>
      </c>
      <c r="E147" s="1">
        <v>2685</v>
      </c>
      <c r="F147" s="4">
        <v>1.376423611111111</v>
      </c>
    </row>
    <row r="148" spans="1:6" x14ac:dyDescent="0.3">
      <c r="A148" s="1">
        <v>15</v>
      </c>
      <c r="B148" s="1">
        <v>29455</v>
      </c>
      <c r="C148" s="1">
        <v>10365</v>
      </c>
      <c r="D148" s="1">
        <v>12325</v>
      </c>
      <c r="E148" s="1">
        <v>2835</v>
      </c>
      <c r="F148" s="4">
        <v>1.4545254629629629</v>
      </c>
    </row>
    <row r="149" spans="1:6" x14ac:dyDescent="0.3">
      <c r="A149" s="1">
        <v>16</v>
      </c>
      <c r="B149" s="1">
        <v>31015</v>
      </c>
      <c r="C149" s="1">
        <v>10915</v>
      </c>
      <c r="D149" s="1">
        <v>12980</v>
      </c>
      <c r="E149" s="1">
        <v>2985</v>
      </c>
      <c r="F149" s="4">
        <v>1.5315972222222223</v>
      </c>
    </row>
    <row r="150" spans="1:6" x14ac:dyDescent="0.3">
      <c r="A150" s="1">
        <v>17</v>
      </c>
      <c r="B150" s="1">
        <v>32555</v>
      </c>
      <c r="C150" s="1">
        <v>11455</v>
      </c>
      <c r="D150" s="1">
        <v>13625</v>
      </c>
      <c r="E150" s="1">
        <v>3135</v>
      </c>
      <c r="F150" s="4">
        <v>1.6077083333333333</v>
      </c>
    </row>
    <row r="151" spans="1:6" x14ac:dyDescent="0.3">
      <c r="A151" s="1">
        <v>18</v>
      </c>
      <c r="B151" s="1">
        <v>34080</v>
      </c>
      <c r="C151" s="1">
        <v>11990</v>
      </c>
      <c r="D151" s="1">
        <v>14265</v>
      </c>
      <c r="E151" s="1">
        <v>3280</v>
      </c>
      <c r="F151" s="4">
        <v>1.6829282407407407</v>
      </c>
    </row>
    <row r="152" spans="1:6" x14ac:dyDescent="0.3">
      <c r="A152" s="1">
        <v>19</v>
      </c>
      <c r="B152" s="1">
        <v>35585</v>
      </c>
      <c r="C152" s="1">
        <v>12520</v>
      </c>
      <c r="D152" s="1">
        <v>14895</v>
      </c>
      <c r="E152" s="1">
        <v>3425</v>
      </c>
      <c r="F152" s="4">
        <v>1.7573263888888888</v>
      </c>
    </row>
    <row r="153" spans="1:6" x14ac:dyDescent="0.3">
      <c r="A153" s="1">
        <v>20</v>
      </c>
      <c r="B153" s="1">
        <v>37075</v>
      </c>
      <c r="C153" s="1">
        <v>13045</v>
      </c>
      <c r="D153" s="1">
        <v>15515</v>
      </c>
      <c r="E153" s="1">
        <v>3570</v>
      </c>
      <c r="F153" s="4">
        <v>1.8309375000000001</v>
      </c>
    </row>
    <row r="155" spans="1:6" x14ac:dyDescent="0.3">
      <c r="A155" t="s">
        <v>144</v>
      </c>
      <c r="B155" t="s">
        <v>17</v>
      </c>
      <c r="C155" t="s">
        <v>18</v>
      </c>
      <c r="D155" t="s">
        <v>19</v>
      </c>
      <c r="E155" t="s">
        <v>20</v>
      </c>
      <c r="F155" t="s">
        <v>22</v>
      </c>
    </row>
    <row r="156" spans="1:6" x14ac:dyDescent="0.3">
      <c r="A156" s="1">
        <v>1</v>
      </c>
      <c r="B156" s="1">
        <v>1010</v>
      </c>
      <c r="C156" s="1">
        <v>1445</v>
      </c>
      <c r="D156" s="1">
        <v>765</v>
      </c>
      <c r="E156" s="1">
        <v>95</v>
      </c>
      <c r="F156" s="3">
        <v>0.33333333333333331</v>
      </c>
    </row>
    <row r="157" spans="1:6" x14ac:dyDescent="0.3">
      <c r="A157" s="1">
        <v>2</v>
      </c>
      <c r="B157" s="1">
        <v>1755</v>
      </c>
      <c r="C157" s="1">
        <v>2515</v>
      </c>
      <c r="D157" s="1">
        <v>1330</v>
      </c>
      <c r="E157" s="1">
        <v>170</v>
      </c>
      <c r="F157" s="3">
        <v>0.58037037037037043</v>
      </c>
    </row>
    <row r="158" spans="1:6" x14ac:dyDescent="0.3">
      <c r="A158" s="1">
        <v>3</v>
      </c>
      <c r="B158" s="1">
        <v>2430</v>
      </c>
      <c r="C158" s="1">
        <v>3480</v>
      </c>
      <c r="D158" s="1">
        <v>1835</v>
      </c>
      <c r="E158" s="1">
        <v>235</v>
      </c>
      <c r="F158" s="3">
        <v>0.80274305555555558</v>
      </c>
    </row>
    <row r="159" spans="1:6" x14ac:dyDescent="0.3">
      <c r="A159" s="1">
        <v>4</v>
      </c>
      <c r="B159" s="1">
        <v>3055</v>
      </c>
      <c r="C159" s="1">
        <v>4385</v>
      </c>
      <c r="D159" s="1">
        <v>2310</v>
      </c>
      <c r="E159" s="1">
        <v>295</v>
      </c>
      <c r="F159" s="4">
        <v>1.0104745370370369</v>
      </c>
    </row>
    <row r="160" spans="1:6" x14ac:dyDescent="0.3">
      <c r="A160" s="1">
        <v>5</v>
      </c>
      <c r="B160" s="1">
        <v>3655</v>
      </c>
      <c r="C160" s="1">
        <v>5240</v>
      </c>
      <c r="D160" s="1">
        <v>2765</v>
      </c>
      <c r="E160" s="1">
        <v>350</v>
      </c>
      <c r="F160" s="4">
        <v>1.2079629629629629</v>
      </c>
    </row>
    <row r="161" spans="1:6" x14ac:dyDescent="0.3">
      <c r="A161" s="1">
        <v>6</v>
      </c>
      <c r="B161" s="1">
        <v>4230</v>
      </c>
      <c r="C161" s="1">
        <v>6060</v>
      </c>
      <c r="D161" s="1">
        <v>3195</v>
      </c>
      <c r="E161" s="1">
        <v>405</v>
      </c>
      <c r="F161" s="4">
        <v>1.3976504629629629</v>
      </c>
    </row>
    <row r="162" spans="1:6" x14ac:dyDescent="0.3">
      <c r="A162" s="1">
        <v>7</v>
      </c>
      <c r="B162" s="1">
        <v>4785</v>
      </c>
      <c r="C162" s="1">
        <v>6860</v>
      </c>
      <c r="D162" s="1">
        <v>3615</v>
      </c>
      <c r="E162" s="1">
        <v>460</v>
      </c>
      <c r="F162" s="4">
        <v>1.5810879629629631</v>
      </c>
    </row>
    <row r="163" spans="1:6" x14ac:dyDescent="0.3">
      <c r="A163" s="1">
        <v>8</v>
      </c>
      <c r="B163" s="1">
        <v>5320</v>
      </c>
      <c r="C163" s="1">
        <v>7630</v>
      </c>
      <c r="D163" s="1">
        <v>4025</v>
      </c>
      <c r="E163" s="1">
        <v>510</v>
      </c>
      <c r="F163" s="4">
        <v>1.7593402777777778</v>
      </c>
    </row>
    <row r="164" spans="1:6" x14ac:dyDescent="0.3">
      <c r="A164" s="1">
        <v>9</v>
      </c>
      <c r="B164" s="1">
        <v>5850</v>
      </c>
      <c r="C164" s="1">
        <v>8385</v>
      </c>
      <c r="D164" s="1">
        <v>4420</v>
      </c>
      <c r="E164" s="1">
        <v>560</v>
      </c>
      <c r="F164" s="4">
        <v>1.9331828703703704</v>
      </c>
    </row>
    <row r="165" spans="1:6" x14ac:dyDescent="0.3">
      <c r="A165" s="1">
        <v>10</v>
      </c>
      <c r="B165" s="1">
        <v>6360</v>
      </c>
      <c r="C165" s="1">
        <v>9125</v>
      </c>
      <c r="D165" s="1">
        <v>4810</v>
      </c>
      <c r="E165" s="1">
        <v>610</v>
      </c>
      <c r="F165" s="4">
        <v>2.1031944444444446</v>
      </c>
    </row>
    <row r="166" spans="1:6" x14ac:dyDescent="0.3">
      <c r="A166" s="1">
        <v>11</v>
      </c>
      <c r="B166" s="1">
        <v>6865</v>
      </c>
      <c r="C166" s="1">
        <v>9845</v>
      </c>
      <c r="D166" s="1">
        <v>5190</v>
      </c>
      <c r="E166" s="1">
        <v>660</v>
      </c>
      <c r="F166" s="4">
        <v>2.2698263888888888</v>
      </c>
    </row>
    <row r="167" spans="1:6" x14ac:dyDescent="0.3">
      <c r="A167" s="1">
        <v>12</v>
      </c>
      <c r="B167" s="1">
        <v>7360</v>
      </c>
      <c r="C167" s="1">
        <v>10555</v>
      </c>
      <c r="D167" s="1">
        <v>5565</v>
      </c>
      <c r="E167" s="1">
        <v>705</v>
      </c>
      <c r="F167" s="4">
        <v>2.4334606481481482</v>
      </c>
    </row>
    <row r="168" spans="1:6" x14ac:dyDescent="0.3">
      <c r="A168" s="1">
        <v>13</v>
      </c>
      <c r="B168" s="1">
        <v>7850</v>
      </c>
      <c r="C168" s="1">
        <v>11255</v>
      </c>
      <c r="D168" s="1">
        <v>5935</v>
      </c>
      <c r="E168" s="1">
        <v>750</v>
      </c>
      <c r="F168" s="4">
        <v>2.5943749999999999</v>
      </c>
    </row>
    <row r="169" spans="1:6" x14ac:dyDescent="0.3">
      <c r="A169" s="1">
        <v>14</v>
      </c>
      <c r="B169" s="1">
        <v>8325</v>
      </c>
      <c r="C169" s="1">
        <v>11940</v>
      </c>
      <c r="D169" s="1">
        <v>6295</v>
      </c>
      <c r="E169" s="1">
        <v>800</v>
      </c>
      <c r="F169" s="4">
        <v>2.7528356481481482</v>
      </c>
    </row>
    <row r="170" spans="1:6" x14ac:dyDescent="0.3">
      <c r="A170" s="1">
        <v>15</v>
      </c>
      <c r="B170" s="1">
        <v>8800</v>
      </c>
      <c r="C170" s="1">
        <v>12620</v>
      </c>
      <c r="D170" s="1">
        <v>6655</v>
      </c>
      <c r="E170" s="1">
        <v>845</v>
      </c>
      <c r="F170" s="4">
        <v>2.9090509259259258</v>
      </c>
    </row>
    <row r="171" spans="1:6" x14ac:dyDescent="0.3">
      <c r="A171" s="1">
        <v>16</v>
      </c>
      <c r="B171" s="1">
        <v>9265</v>
      </c>
      <c r="C171" s="1">
        <v>13285</v>
      </c>
      <c r="D171" s="1">
        <v>7005</v>
      </c>
      <c r="E171" s="1">
        <v>890</v>
      </c>
      <c r="F171" s="4">
        <v>3.0631944444444446</v>
      </c>
    </row>
    <row r="172" spans="1:6" x14ac:dyDescent="0.3">
      <c r="A172" s="1">
        <v>17</v>
      </c>
      <c r="B172" s="1">
        <v>9725</v>
      </c>
      <c r="C172" s="1">
        <v>13945</v>
      </c>
      <c r="D172" s="1">
        <v>7355</v>
      </c>
      <c r="E172" s="1">
        <v>930</v>
      </c>
      <c r="F172" s="4">
        <v>3.2154166666666666</v>
      </c>
    </row>
    <row r="173" spans="1:6" x14ac:dyDescent="0.3">
      <c r="A173" s="1">
        <v>18</v>
      </c>
      <c r="B173" s="1">
        <v>10180</v>
      </c>
      <c r="C173" s="1">
        <v>14600</v>
      </c>
      <c r="D173" s="1">
        <v>7700</v>
      </c>
      <c r="E173" s="1">
        <v>975</v>
      </c>
      <c r="F173" s="4">
        <v>3.3658680555555556</v>
      </c>
    </row>
    <row r="174" spans="1:6" x14ac:dyDescent="0.3">
      <c r="A174" s="1">
        <v>19</v>
      </c>
      <c r="B174" s="1">
        <v>10630</v>
      </c>
      <c r="C174" s="1">
        <v>15245</v>
      </c>
      <c r="D174" s="1">
        <v>8040</v>
      </c>
      <c r="E174" s="1">
        <v>1020</v>
      </c>
      <c r="F174" s="4">
        <v>3.5146412037037038</v>
      </c>
    </row>
    <row r="175" spans="1:6" x14ac:dyDescent="0.3">
      <c r="A175" s="1">
        <v>20</v>
      </c>
      <c r="B175" s="1">
        <v>11075</v>
      </c>
      <c r="C175" s="1">
        <v>15885</v>
      </c>
      <c r="D175" s="1">
        <v>8375</v>
      </c>
      <c r="E175" s="1">
        <v>1060</v>
      </c>
      <c r="F175" s="4">
        <v>3.661863425925926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022D0-C518-4FC4-AF27-E5AB3CE1F5E8}">
  <dimension ref="A1:M184"/>
  <sheetViews>
    <sheetView tabSelected="1" topLeftCell="A148" zoomScale="70" zoomScaleNormal="70" workbookViewId="0">
      <selection activeCell="L3" sqref="L3"/>
    </sheetView>
  </sheetViews>
  <sheetFormatPr defaultRowHeight="14.4" x14ac:dyDescent="0.3"/>
  <cols>
    <col min="9" max="9" width="8.77734375" customWidth="1"/>
  </cols>
  <sheetData>
    <row r="1" spans="1:12" x14ac:dyDescent="0.3">
      <c r="A1" t="s">
        <v>106</v>
      </c>
      <c r="B1" t="s">
        <v>107</v>
      </c>
      <c r="D1" t="s">
        <v>103</v>
      </c>
    </row>
    <row r="2" spans="1:12" x14ac:dyDescent="0.3">
      <c r="A2" t="s">
        <v>94</v>
      </c>
      <c r="B2" t="s">
        <v>17</v>
      </c>
      <c r="C2" t="s">
        <v>18</v>
      </c>
      <c r="D2" t="s">
        <v>19</v>
      </c>
      <c r="E2" t="s">
        <v>20</v>
      </c>
      <c r="F2" t="s">
        <v>21</v>
      </c>
      <c r="G2" t="s">
        <v>95</v>
      </c>
      <c r="H2" t="s">
        <v>22</v>
      </c>
      <c r="I2" t="s">
        <v>96</v>
      </c>
      <c r="J2" t="s">
        <v>102</v>
      </c>
    </row>
    <row r="3" spans="1:12" x14ac:dyDescent="0.3">
      <c r="A3" s="1">
        <v>1</v>
      </c>
      <c r="B3" s="1">
        <v>110</v>
      </c>
      <c r="C3" s="1">
        <v>160</v>
      </c>
      <c r="D3" s="1">
        <v>70</v>
      </c>
      <c r="E3" s="1">
        <v>60</v>
      </c>
      <c r="F3" s="1">
        <v>0</v>
      </c>
      <c r="G3" s="1">
        <v>1</v>
      </c>
      <c r="H3" s="3">
        <v>2.3148148148148147E-2</v>
      </c>
      <c r="I3" s="1">
        <v>3</v>
      </c>
      <c r="J3" s="1">
        <v>8</v>
      </c>
      <c r="K3">
        <f>I3/100</f>
        <v>0.03</v>
      </c>
      <c r="L3">
        <f>(POWER(1.022,A3))+8*A3</f>
        <v>9.0220000000000002</v>
      </c>
    </row>
    <row r="4" spans="1:12" x14ac:dyDescent="0.3">
      <c r="A4" s="1">
        <v>2</v>
      </c>
      <c r="B4" s="1">
        <v>140</v>
      </c>
      <c r="C4" s="1">
        <v>205</v>
      </c>
      <c r="D4" s="1">
        <v>90</v>
      </c>
      <c r="E4" s="1">
        <v>75</v>
      </c>
      <c r="F4" s="1">
        <v>0</v>
      </c>
      <c r="G4" s="1">
        <v>1</v>
      </c>
      <c r="H4" s="3">
        <v>3.0324074074074073E-2</v>
      </c>
      <c r="I4" s="1">
        <v>5</v>
      </c>
      <c r="J4" s="1">
        <v>16</v>
      </c>
      <c r="K4">
        <f>(I4-I3)/100</f>
        <v>0.02</v>
      </c>
      <c r="L4">
        <f t="shared" ref="L4:L22" si="0">(POWER(1.022,A4))+8*A4</f>
        <v>17.044484000000001</v>
      </c>
    </row>
    <row r="5" spans="1:12" x14ac:dyDescent="0.3">
      <c r="A5" s="1">
        <v>3</v>
      </c>
      <c r="B5" s="1">
        <v>180</v>
      </c>
      <c r="C5" s="1">
        <v>260</v>
      </c>
      <c r="D5" s="1">
        <v>115</v>
      </c>
      <c r="E5" s="1">
        <v>100</v>
      </c>
      <c r="F5" s="1">
        <v>0</v>
      </c>
      <c r="G5" s="1">
        <v>2</v>
      </c>
      <c r="H5" s="3">
        <v>3.8657407407407404E-2</v>
      </c>
      <c r="I5" s="1">
        <v>8</v>
      </c>
      <c r="J5" s="1">
        <v>24</v>
      </c>
      <c r="K5">
        <f t="shared" ref="K5:K22" si="1">(I5-I4)/100</f>
        <v>0.03</v>
      </c>
      <c r="L5">
        <f t="shared" si="0"/>
        <v>25.067462647999999</v>
      </c>
    </row>
    <row r="6" spans="1:12" x14ac:dyDescent="0.3">
      <c r="A6" s="1">
        <v>4</v>
      </c>
      <c r="B6" s="1">
        <v>230</v>
      </c>
      <c r="C6" s="1">
        <v>335</v>
      </c>
      <c r="D6" s="1">
        <v>145</v>
      </c>
      <c r="E6" s="1">
        <v>125</v>
      </c>
      <c r="F6" s="1">
        <v>0</v>
      </c>
      <c r="G6" s="1">
        <v>2</v>
      </c>
      <c r="H6" s="3">
        <v>4.8263888888888891E-2</v>
      </c>
      <c r="I6" s="1">
        <v>10</v>
      </c>
      <c r="J6" s="1">
        <v>32</v>
      </c>
      <c r="K6">
        <f t="shared" si="1"/>
        <v>0.02</v>
      </c>
      <c r="L6">
        <f t="shared" si="0"/>
        <v>33.090946826256001</v>
      </c>
    </row>
    <row r="7" spans="1:12" x14ac:dyDescent="0.3">
      <c r="A7" s="1">
        <v>5</v>
      </c>
      <c r="B7" s="1">
        <v>295</v>
      </c>
      <c r="C7" s="1">
        <v>430</v>
      </c>
      <c r="D7" s="1">
        <v>190</v>
      </c>
      <c r="E7" s="1">
        <v>160</v>
      </c>
      <c r="F7" s="1">
        <v>0</v>
      </c>
      <c r="G7" s="1">
        <v>2</v>
      </c>
      <c r="H7" s="3">
        <v>5.949074074074074E-2</v>
      </c>
      <c r="I7" s="1">
        <v>13</v>
      </c>
      <c r="J7" s="1">
        <v>40</v>
      </c>
      <c r="K7">
        <f t="shared" si="1"/>
        <v>0.03</v>
      </c>
      <c r="L7">
        <f t="shared" si="0"/>
        <v>41.114947656433635</v>
      </c>
    </row>
    <row r="8" spans="1:12" x14ac:dyDescent="0.3">
      <c r="A8" s="1">
        <v>6</v>
      </c>
      <c r="B8" s="1">
        <v>380</v>
      </c>
      <c r="C8" s="1">
        <v>550</v>
      </c>
      <c r="D8" s="1">
        <v>240</v>
      </c>
      <c r="E8" s="1">
        <v>205</v>
      </c>
      <c r="F8" s="1">
        <v>1</v>
      </c>
      <c r="G8" s="1">
        <v>3</v>
      </c>
      <c r="H8" s="3">
        <v>7.2453703703703701E-2</v>
      </c>
      <c r="I8" s="1">
        <v>16</v>
      </c>
      <c r="J8" s="1">
        <v>48</v>
      </c>
      <c r="K8">
        <f t="shared" si="1"/>
        <v>0.03</v>
      </c>
      <c r="L8">
        <f t="shared" si="0"/>
        <v>49.139476504875169</v>
      </c>
    </row>
    <row r="9" spans="1:12" x14ac:dyDescent="0.3">
      <c r="A9" s="1">
        <v>7</v>
      </c>
      <c r="B9" s="1">
        <v>485</v>
      </c>
      <c r="C9" s="1">
        <v>705</v>
      </c>
      <c r="D9" s="1">
        <v>310</v>
      </c>
      <c r="E9" s="1">
        <v>265</v>
      </c>
      <c r="F9" s="1">
        <v>1</v>
      </c>
      <c r="G9" s="1">
        <v>4</v>
      </c>
      <c r="H9" s="3">
        <v>8.7615740740740744E-2</v>
      </c>
      <c r="I9" s="1">
        <v>19</v>
      </c>
      <c r="J9" s="1">
        <v>56</v>
      </c>
      <c r="K9">
        <f t="shared" si="1"/>
        <v>0.03</v>
      </c>
      <c r="L9">
        <f t="shared" si="0"/>
        <v>57.164544987982424</v>
      </c>
    </row>
    <row r="10" spans="1:12" x14ac:dyDescent="0.3">
      <c r="A10" s="1">
        <v>8</v>
      </c>
      <c r="B10" s="1">
        <v>620</v>
      </c>
      <c r="C10" s="1">
        <v>900</v>
      </c>
      <c r="D10" s="1">
        <v>395</v>
      </c>
      <c r="E10" s="1">
        <v>340</v>
      </c>
      <c r="F10" s="1">
        <v>1</v>
      </c>
      <c r="G10" s="1">
        <v>4</v>
      </c>
      <c r="H10" s="3">
        <v>0.1050925925925926</v>
      </c>
      <c r="I10" s="1">
        <v>22</v>
      </c>
      <c r="J10" s="1">
        <v>64</v>
      </c>
      <c r="K10">
        <f t="shared" si="1"/>
        <v>0.03</v>
      </c>
      <c r="L10">
        <f t="shared" si="0"/>
        <v>65.190164977718041</v>
      </c>
    </row>
    <row r="11" spans="1:12" x14ac:dyDescent="0.3">
      <c r="A11" s="1">
        <v>9</v>
      </c>
      <c r="B11" s="1">
        <v>795</v>
      </c>
      <c r="C11" s="1">
        <v>1155</v>
      </c>
      <c r="D11" s="1">
        <v>505</v>
      </c>
      <c r="E11" s="1">
        <v>430</v>
      </c>
      <c r="F11" s="1">
        <v>1</v>
      </c>
      <c r="G11" s="1">
        <v>5</v>
      </c>
      <c r="H11" s="3">
        <v>0.12534722222222222</v>
      </c>
      <c r="I11" s="1">
        <v>25</v>
      </c>
      <c r="J11" s="1">
        <v>72</v>
      </c>
      <c r="K11">
        <f t="shared" si="1"/>
        <v>0.03</v>
      </c>
      <c r="L11">
        <f t="shared" si="0"/>
        <v>73.216348607227843</v>
      </c>
    </row>
    <row r="12" spans="1:12" x14ac:dyDescent="0.3">
      <c r="A12" s="1">
        <v>10</v>
      </c>
      <c r="B12" s="1">
        <v>1015</v>
      </c>
      <c r="C12" s="1">
        <v>1475</v>
      </c>
      <c r="D12" s="1">
        <v>645</v>
      </c>
      <c r="E12" s="1">
        <v>555</v>
      </c>
      <c r="F12" s="1">
        <v>1</v>
      </c>
      <c r="G12" s="1">
        <v>6</v>
      </c>
      <c r="H12" s="3">
        <v>0.14884259259259258</v>
      </c>
      <c r="I12" s="1">
        <v>28</v>
      </c>
      <c r="J12" s="1">
        <v>80</v>
      </c>
      <c r="K12">
        <f t="shared" si="1"/>
        <v>0.03</v>
      </c>
      <c r="L12">
        <f t="shared" si="0"/>
        <v>81.243108276586852</v>
      </c>
    </row>
    <row r="13" spans="1:12" x14ac:dyDescent="0.3">
      <c r="A13" s="1">
        <v>11</v>
      </c>
      <c r="B13" s="1">
        <v>1300</v>
      </c>
      <c r="C13" s="1">
        <v>1890</v>
      </c>
      <c r="D13" s="1">
        <v>825</v>
      </c>
      <c r="E13" s="1">
        <v>710</v>
      </c>
      <c r="F13" s="1">
        <v>1</v>
      </c>
      <c r="G13" s="1">
        <v>7</v>
      </c>
      <c r="H13" s="3">
        <v>0.1761574074074074</v>
      </c>
      <c r="I13" s="1">
        <v>31</v>
      </c>
      <c r="J13" s="1">
        <v>88</v>
      </c>
      <c r="K13">
        <f t="shared" si="1"/>
        <v>0.03</v>
      </c>
      <c r="L13">
        <f t="shared" si="0"/>
        <v>89.270456658671762</v>
      </c>
    </row>
    <row r="14" spans="1:12" x14ac:dyDescent="0.3">
      <c r="A14" s="1">
        <v>12</v>
      </c>
      <c r="B14" s="1">
        <v>1660</v>
      </c>
      <c r="C14" s="1">
        <v>2420</v>
      </c>
      <c r="D14" s="1">
        <v>1060</v>
      </c>
      <c r="E14" s="1">
        <v>905</v>
      </c>
      <c r="F14" s="1">
        <v>1</v>
      </c>
      <c r="G14" s="1">
        <v>9</v>
      </c>
      <c r="H14" s="3">
        <v>0.20775462962962962</v>
      </c>
      <c r="I14" s="1">
        <v>35</v>
      </c>
      <c r="J14" s="1">
        <v>96</v>
      </c>
      <c r="K14">
        <f t="shared" si="1"/>
        <v>0.04</v>
      </c>
      <c r="L14">
        <f t="shared" si="0"/>
        <v>97.298406705162535</v>
      </c>
    </row>
    <row r="15" spans="1:12" x14ac:dyDescent="0.3">
      <c r="A15" s="1">
        <v>13</v>
      </c>
      <c r="B15" s="1">
        <v>2130</v>
      </c>
      <c r="C15" s="1">
        <v>3095</v>
      </c>
      <c r="D15" s="1">
        <v>1355</v>
      </c>
      <c r="E15" s="1">
        <v>1160</v>
      </c>
      <c r="F15" s="1">
        <v>1</v>
      </c>
      <c r="G15" s="1">
        <v>11</v>
      </c>
      <c r="H15" s="3">
        <v>0.24456018518518519</v>
      </c>
      <c r="I15" s="1">
        <v>38</v>
      </c>
      <c r="J15" s="1">
        <v>104</v>
      </c>
      <c r="K15">
        <f t="shared" si="1"/>
        <v>0.03</v>
      </c>
      <c r="L15">
        <f t="shared" si="0"/>
        <v>105.32697165267611</v>
      </c>
    </row>
    <row r="16" spans="1:12" x14ac:dyDescent="0.3">
      <c r="A16" s="1">
        <v>14</v>
      </c>
      <c r="B16" s="1">
        <v>2725</v>
      </c>
      <c r="C16" s="1">
        <v>3960</v>
      </c>
      <c r="D16" s="1">
        <v>1735</v>
      </c>
      <c r="E16" s="1">
        <v>1485</v>
      </c>
      <c r="F16" s="1">
        <v>1</v>
      </c>
      <c r="G16" s="1">
        <v>13</v>
      </c>
      <c r="H16" s="3">
        <v>0.28715277777777776</v>
      </c>
      <c r="I16" s="1">
        <v>41</v>
      </c>
      <c r="J16" s="1">
        <v>112</v>
      </c>
      <c r="K16">
        <f t="shared" si="1"/>
        <v>0.03</v>
      </c>
      <c r="L16">
        <f t="shared" si="0"/>
        <v>113.35616502903498</v>
      </c>
    </row>
    <row r="17" spans="1:12" x14ac:dyDescent="0.3">
      <c r="A17" s="1">
        <v>15</v>
      </c>
      <c r="B17" s="1">
        <v>3485</v>
      </c>
      <c r="C17" s="1">
        <v>5070</v>
      </c>
      <c r="D17" s="1">
        <v>2220</v>
      </c>
      <c r="E17" s="1">
        <v>1900</v>
      </c>
      <c r="F17" s="1">
        <v>1</v>
      </c>
      <c r="G17" s="1">
        <v>15</v>
      </c>
      <c r="H17" s="3">
        <v>0.33657407407407408</v>
      </c>
      <c r="I17" s="1">
        <v>45</v>
      </c>
      <c r="J17" s="1">
        <v>120</v>
      </c>
      <c r="K17">
        <f t="shared" si="1"/>
        <v>0.04</v>
      </c>
      <c r="L17">
        <f t="shared" si="0"/>
        <v>121.38600065967375</v>
      </c>
    </row>
    <row r="18" spans="1:12" x14ac:dyDescent="0.3">
      <c r="A18" s="1">
        <v>16</v>
      </c>
      <c r="B18" s="1">
        <v>4460</v>
      </c>
      <c r="C18" s="1">
        <v>6490</v>
      </c>
      <c r="D18" s="1">
        <v>2840</v>
      </c>
      <c r="E18" s="1">
        <v>2435</v>
      </c>
      <c r="F18" s="1">
        <v>2</v>
      </c>
      <c r="G18" s="1">
        <v>18</v>
      </c>
      <c r="H18" s="3">
        <v>0.39386574074074077</v>
      </c>
      <c r="I18" s="1">
        <v>49</v>
      </c>
      <c r="J18" s="1">
        <v>128</v>
      </c>
      <c r="K18">
        <f t="shared" si="1"/>
        <v>0.04</v>
      </c>
      <c r="L18">
        <f t="shared" si="0"/>
        <v>129.41649267418657</v>
      </c>
    </row>
    <row r="19" spans="1:12" x14ac:dyDescent="0.3">
      <c r="A19" s="1">
        <v>17</v>
      </c>
      <c r="B19" s="1">
        <v>5710</v>
      </c>
      <c r="C19" s="1">
        <v>8310</v>
      </c>
      <c r="D19" s="1">
        <v>3635</v>
      </c>
      <c r="E19" s="1">
        <v>3115</v>
      </c>
      <c r="F19" s="1">
        <v>2</v>
      </c>
      <c r="G19" s="1">
        <v>22</v>
      </c>
      <c r="H19" s="3">
        <v>0.46030092592592592</v>
      </c>
      <c r="I19" s="1">
        <v>52</v>
      </c>
      <c r="J19" s="1">
        <v>136</v>
      </c>
      <c r="K19">
        <f t="shared" si="1"/>
        <v>0.03</v>
      </c>
      <c r="L19">
        <f t="shared" si="0"/>
        <v>137.44765551301867</v>
      </c>
    </row>
    <row r="20" spans="1:12" x14ac:dyDescent="0.3">
      <c r="A20" s="1">
        <v>18</v>
      </c>
      <c r="B20" s="1">
        <v>7310</v>
      </c>
      <c r="C20" s="1">
        <v>10635</v>
      </c>
      <c r="D20" s="1">
        <v>4650</v>
      </c>
      <c r="E20" s="1">
        <v>3990</v>
      </c>
      <c r="F20" s="1">
        <v>2</v>
      </c>
      <c r="G20" s="1">
        <v>27</v>
      </c>
      <c r="H20" s="3">
        <v>0.53749999999999998</v>
      </c>
      <c r="I20" s="1">
        <v>56</v>
      </c>
      <c r="J20" s="1">
        <v>144</v>
      </c>
      <c r="K20">
        <f t="shared" si="1"/>
        <v>0.04</v>
      </c>
      <c r="L20">
        <f t="shared" si="0"/>
        <v>145.47950393430509</v>
      </c>
    </row>
    <row r="21" spans="1:12" x14ac:dyDescent="0.3">
      <c r="A21" s="1">
        <v>19</v>
      </c>
      <c r="B21" s="1">
        <v>9360</v>
      </c>
      <c r="C21" s="1">
        <v>13610</v>
      </c>
      <c r="D21" s="1">
        <v>5955</v>
      </c>
      <c r="E21" s="1">
        <v>5105</v>
      </c>
      <c r="F21" s="1">
        <v>2</v>
      </c>
      <c r="G21" s="1">
        <v>32</v>
      </c>
      <c r="H21" s="3">
        <v>0.6269675925925926</v>
      </c>
      <c r="I21" s="1">
        <v>60</v>
      </c>
      <c r="J21" s="1">
        <v>152</v>
      </c>
      <c r="K21">
        <f t="shared" si="1"/>
        <v>0.04</v>
      </c>
      <c r="L21">
        <f t="shared" si="0"/>
        <v>153.51205302085981</v>
      </c>
    </row>
    <row r="22" spans="1:12" x14ac:dyDescent="0.3">
      <c r="A22" s="1">
        <v>20</v>
      </c>
      <c r="B22" s="1">
        <v>11980</v>
      </c>
      <c r="C22" s="1">
        <v>17420</v>
      </c>
      <c r="D22" s="1">
        <v>7620</v>
      </c>
      <c r="E22" s="1">
        <v>6535</v>
      </c>
      <c r="F22" s="1">
        <v>2</v>
      </c>
      <c r="G22" s="1">
        <v>38</v>
      </c>
      <c r="H22" s="3">
        <v>0.73067129629629635</v>
      </c>
      <c r="I22" s="1">
        <v>64</v>
      </c>
      <c r="J22" s="1">
        <v>160</v>
      </c>
      <c r="K22">
        <f t="shared" si="1"/>
        <v>0.04</v>
      </c>
      <c r="L22">
        <f t="shared" si="0"/>
        <v>161.54531818731871</v>
      </c>
    </row>
    <row r="23" spans="1:12" x14ac:dyDescent="0.3">
      <c r="A23" s="1"/>
      <c r="B23" s="1"/>
      <c r="C23" s="1"/>
      <c r="D23" s="1"/>
      <c r="E23" s="1"/>
      <c r="F23" s="1"/>
      <c r="G23" s="1"/>
      <c r="H23" s="3"/>
      <c r="I23" s="1"/>
    </row>
    <row r="24" spans="1:12" ht="14.4" customHeight="1" x14ac:dyDescent="0.3">
      <c r="A24" t="s">
        <v>97</v>
      </c>
      <c r="B24" t="s">
        <v>104</v>
      </c>
      <c r="D24" t="s">
        <v>105</v>
      </c>
    </row>
    <row r="25" spans="1:12" ht="14.4" customHeight="1" x14ac:dyDescent="0.3">
      <c r="A25" t="s">
        <v>94</v>
      </c>
      <c r="B25" t="s">
        <v>17</v>
      </c>
      <c r="C25" t="s">
        <v>18</v>
      </c>
      <c r="D25" t="s">
        <v>19</v>
      </c>
      <c r="E25" t="s">
        <v>20</v>
      </c>
      <c r="F25" t="s">
        <v>21</v>
      </c>
      <c r="G25" t="s">
        <v>95</v>
      </c>
      <c r="H25" t="s">
        <v>22</v>
      </c>
      <c r="I25" t="s">
        <v>96</v>
      </c>
      <c r="J25" t="s">
        <v>102</v>
      </c>
    </row>
    <row r="26" spans="1:12" ht="14.4" customHeight="1" x14ac:dyDescent="0.3">
      <c r="A26" s="1">
        <v>1</v>
      </c>
      <c r="B26" s="1">
        <v>50</v>
      </c>
      <c r="C26" s="1">
        <v>80</v>
      </c>
      <c r="D26" s="1">
        <v>40</v>
      </c>
      <c r="E26" s="1">
        <v>30</v>
      </c>
      <c r="F26" s="1">
        <v>0</v>
      </c>
      <c r="G26" s="1">
        <v>1</v>
      </c>
      <c r="H26" s="3">
        <v>2.3148148148148147E-2</v>
      </c>
      <c r="I26" s="1">
        <v>2</v>
      </c>
      <c r="J26" s="1">
        <v>6</v>
      </c>
      <c r="L26">
        <f>POWER(1.026,A26)+5</f>
        <v>6.0259999999999998</v>
      </c>
    </row>
    <row r="27" spans="1:12" ht="14.4" customHeight="1" x14ac:dyDescent="0.3">
      <c r="A27" s="1">
        <v>2</v>
      </c>
      <c r="B27" s="1">
        <v>65</v>
      </c>
      <c r="C27" s="1">
        <v>100</v>
      </c>
      <c r="D27" s="1">
        <v>50</v>
      </c>
      <c r="E27" s="1">
        <v>40</v>
      </c>
      <c r="F27" s="1">
        <v>0</v>
      </c>
      <c r="G27" s="1">
        <v>1</v>
      </c>
      <c r="H27" s="3">
        <v>3.0324074074074073E-2</v>
      </c>
      <c r="I27" s="1">
        <v>3</v>
      </c>
      <c r="J27" s="1">
        <v>12</v>
      </c>
      <c r="L27">
        <f>A27*$L$26</f>
        <v>12.052</v>
      </c>
    </row>
    <row r="28" spans="1:12" ht="14.4" customHeight="1" x14ac:dyDescent="0.3">
      <c r="A28" s="1">
        <v>3</v>
      </c>
      <c r="B28" s="1">
        <v>80</v>
      </c>
      <c r="C28" s="1">
        <v>130</v>
      </c>
      <c r="D28" s="1">
        <v>65</v>
      </c>
      <c r="E28" s="1">
        <v>50</v>
      </c>
      <c r="F28" s="1">
        <v>0</v>
      </c>
      <c r="G28" s="1">
        <v>2</v>
      </c>
      <c r="H28" s="3">
        <v>3.8657407407407404E-2</v>
      </c>
      <c r="I28" s="1">
        <v>5</v>
      </c>
      <c r="J28" s="1">
        <v>18</v>
      </c>
      <c r="L28">
        <f t="shared" ref="L28:L45" si="2">A28*$L$26</f>
        <v>18.077999999999999</v>
      </c>
    </row>
    <row r="29" spans="1:12" ht="14.4" customHeight="1" x14ac:dyDescent="0.3">
      <c r="A29" s="1">
        <v>4</v>
      </c>
      <c r="B29" s="1">
        <v>105</v>
      </c>
      <c r="C29" s="1">
        <v>170</v>
      </c>
      <c r="D29" s="1">
        <v>85</v>
      </c>
      <c r="E29" s="1">
        <v>65</v>
      </c>
      <c r="F29" s="1">
        <v>0</v>
      </c>
      <c r="G29" s="1">
        <v>2</v>
      </c>
      <c r="H29" s="3">
        <v>4.8263888888888891E-2</v>
      </c>
      <c r="I29" s="1">
        <v>6</v>
      </c>
      <c r="J29" s="1">
        <v>24</v>
      </c>
      <c r="L29">
        <f t="shared" si="2"/>
        <v>24.103999999999999</v>
      </c>
    </row>
    <row r="30" spans="1:12" ht="14.4" customHeight="1" x14ac:dyDescent="0.3">
      <c r="A30" s="1">
        <v>5</v>
      </c>
      <c r="B30" s="1">
        <v>135</v>
      </c>
      <c r="C30" s="1">
        <v>215</v>
      </c>
      <c r="D30" s="1">
        <v>105</v>
      </c>
      <c r="E30" s="1">
        <v>80</v>
      </c>
      <c r="F30" s="1">
        <v>0</v>
      </c>
      <c r="G30" s="1">
        <v>2</v>
      </c>
      <c r="H30" s="3">
        <v>5.949074074074074E-2</v>
      </c>
      <c r="I30" s="1">
        <v>8</v>
      </c>
      <c r="J30" s="1">
        <v>30</v>
      </c>
      <c r="L30">
        <f t="shared" si="2"/>
        <v>30.13</v>
      </c>
    </row>
    <row r="31" spans="1:12" ht="14.4" customHeight="1" x14ac:dyDescent="0.3">
      <c r="A31" s="1">
        <v>6</v>
      </c>
      <c r="B31" s="1">
        <v>170</v>
      </c>
      <c r="C31" s="1">
        <v>275</v>
      </c>
      <c r="D31" s="1">
        <v>135</v>
      </c>
      <c r="E31" s="1">
        <v>105</v>
      </c>
      <c r="F31" s="1">
        <v>1</v>
      </c>
      <c r="G31" s="1">
        <v>3</v>
      </c>
      <c r="H31" s="3">
        <v>7.2453703703703701E-2</v>
      </c>
      <c r="I31" s="1">
        <v>9</v>
      </c>
      <c r="J31" s="1">
        <v>36</v>
      </c>
      <c r="L31">
        <f t="shared" si="2"/>
        <v>36.155999999999999</v>
      </c>
    </row>
    <row r="32" spans="1:12" ht="14.4" customHeight="1" x14ac:dyDescent="0.3">
      <c r="A32" s="1">
        <v>7</v>
      </c>
      <c r="B32" s="1">
        <v>220</v>
      </c>
      <c r="C32" s="1">
        <v>350</v>
      </c>
      <c r="D32" s="1">
        <v>175</v>
      </c>
      <c r="E32" s="1">
        <v>130</v>
      </c>
      <c r="F32" s="1">
        <v>1</v>
      </c>
      <c r="G32" s="1">
        <v>4</v>
      </c>
      <c r="H32" s="3">
        <v>8.7615740740740744E-2</v>
      </c>
      <c r="I32" s="1">
        <v>11</v>
      </c>
      <c r="J32" s="1">
        <v>42</v>
      </c>
      <c r="L32">
        <f t="shared" si="2"/>
        <v>42.182000000000002</v>
      </c>
    </row>
    <row r="33" spans="1:12" ht="14.4" customHeight="1" x14ac:dyDescent="0.3">
      <c r="A33" s="1">
        <v>8</v>
      </c>
      <c r="B33" s="1">
        <v>280</v>
      </c>
      <c r="C33" s="1">
        <v>450</v>
      </c>
      <c r="D33" s="1">
        <v>225</v>
      </c>
      <c r="E33" s="1">
        <v>170</v>
      </c>
      <c r="F33" s="1">
        <v>1</v>
      </c>
      <c r="G33" s="1">
        <v>4</v>
      </c>
      <c r="H33" s="3">
        <v>0.1050925925925926</v>
      </c>
      <c r="I33" s="1">
        <v>13</v>
      </c>
      <c r="J33" s="1">
        <v>48</v>
      </c>
      <c r="L33">
        <f t="shared" si="2"/>
        <v>48.207999999999998</v>
      </c>
    </row>
    <row r="34" spans="1:12" ht="14.4" customHeight="1" x14ac:dyDescent="0.3">
      <c r="A34" s="1">
        <v>9</v>
      </c>
      <c r="B34" s="1">
        <v>360</v>
      </c>
      <c r="C34" s="1">
        <v>575</v>
      </c>
      <c r="D34" s="1">
        <v>290</v>
      </c>
      <c r="E34" s="1">
        <v>215</v>
      </c>
      <c r="F34" s="1">
        <v>1</v>
      </c>
      <c r="G34" s="1">
        <v>5</v>
      </c>
      <c r="H34" s="3">
        <v>0.12534722222222222</v>
      </c>
      <c r="I34" s="1">
        <v>14</v>
      </c>
      <c r="J34" s="1">
        <v>54</v>
      </c>
      <c r="L34">
        <f t="shared" si="2"/>
        <v>54.233999999999995</v>
      </c>
    </row>
    <row r="35" spans="1:12" ht="14.4" customHeight="1" x14ac:dyDescent="0.3">
      <c r="A35" s="1">
        <v>10</v>
      </c>
      <c r="B35" s="1">
        <v>460</v>
      </c>
      <c r="C35" s="1">
        <v>740</v>
      </c>
      <c r="D35" s="1">
        <v>370</v>
      </c>
      <c r="E35" s="1">
        <v>275</v>
      </c>
      <c r="F35" s="1">
        <v>1</v>
      </c>
      <c r="G35" s="1">
        <v>6</v>
      </c>
      <c r="H35" s="3">
        <v>0.14884259259259258</v>
      </c>
      <c r="I35" s="1">
        <v>16</v>
      </c>
      <c r="J35" s="1">
        <v>60</v>
      </c>
      <c r="L35">
        <f t="shared" si="2"/>
        <v>60.26</v>
      </c>
    </row>
    <row r="36" spans="1:12" ht="14.4" customHeight="1" x14ac:dyDescent="0.3">
      <c r="A36" s="1">
        <v>11</v>
      </c>
      <c r="B36" s="1">
        <v>590</v>
      </c>
      <c r="C36" s="1">
        <v>945</v>
      </c>
      <c r="D36" s="1">
        <v>470</v>
      </c>
      <c r="E36" s="1">
        <v>355</v>
      </c>
      <c r="F36" s="1">
        <v>1</v>
      </c>
      <c r="G36" s="1">
        <v>7</v>
      </c>
      <c r="H36" s="3">
        <v>0.1761574074074074</v>
      </c>
      <c r="I36" s="1">
        <v>18</v>
      </c>
      <c r="J36" s="1">
        <v>66</v>
      </c>
      <c r="L36">
        <f t="shared" si="2"/>
        <v>66.286000000000001</v>
      </c>
    </row>
    <row r="37" spans="1:12" ht="14.4" customHeight="1" x14ac:dyDescent="0.3">
      <c r="A37" s="1">
        <v>12</v>
      </c>
      <c r="B37" s="1">
        <v>755</v>
      </c>
      <c r="C37" s="1">
        <v>1210</v>
      </c>
      <c r="D37" s="1">
        <v>605</v>
      </c>
      <c r="E37" s="1">
        <v>455</v>
      </c>
      <c r="F37" s="1">
        <v>1</v>
      </c>
      <c r="G37" s="1">
        <v>9</v>
      </c>
      <c r="H37" s="3">
        <v>0.20775462962962962</v>
      </c>
      <c r="I37" s="1">
        <v>20</v>
      </c>
      <c r="J37" s="1">
        <v>72</v>
      </c>
      <c r="L37">
        <f t="shared" si="2"/>
        <v>72.311999999999998</v>
      </c>
    </row>
    <row r="38" spans="1:12" ht="14.4" customHeight="1" x14ac:dyDescent="0.3">
      <c r="A38" s="1">
        <v>13</v>
      </c>
      <c r="B38" s="1">
        <v>965</v>
      </c>
      <c r="C38" s="1">
        <v>1545</v>
      </c>
      <c r="D38" s="1">
        <v>775</v>
      </c>
      <c r="E38" s="1">
        <v>580</v>
      </c>
      <c r="F38" s="1">
        <v>1</v>
      </c>
      <c r="G38" s="1">
        <v>11</v>
      </c>
      <c r="H38" s="3">
        <v>0.24456018518518519</v>
      </c>
      <c r="I38" s="1">
        <v>21</v>
      </c>
      <c r="J38" s="1">
        <v>78</v>
      </c>
      <c r="L38">
        <f t="shared" si="2"/>
        <v>78.337999999999994</v>
      </c>
    </row>
    <row r="39" spans="1:12" ht="14.4" customHeight="1" x14ac:dyDescent="0.3">
      <c r="A39" s="1">
        <v>14</v>
      </c>
      <c r="B39" s="1">
        <v>1240</v>
      </c>
      <c r="C39" s="1">
        <v>1980</v>
      </c>
      <c r="D39" s="1">
        <v>990</v>
      </c>
      <c r="E39" s="1">
        <v>745</v>
      </c>
      <c r="F39" s="1">
        <v>1</v>
      </c>
      <c r="G39" s="1">
        <v>13</v>
      </c>
      <c r="H39" s="3">
        <v>0.28715277777777776</v>
      </c>
      <c r="I39" s="1">
        <v>23</v>
      </c>
      <c r="J39" s="1">
        <v>84</v>
      </c>
      <c r="L39">
        <f t="shared" si="2"/>
        <v>84.364000000000004</v>
      </c>
    </row>
    <row r="40" spans="1:12" ht="14.4" customHeight="1" x14ac:dyDescent="0.3">
      <c r="A40" s="1">
        <v>15</v>
      </c>
      <c r="B40" s="1">
        <v>1585</v>
      </c>
      <c r="C40" s="1">
        <v>2535</v>
      </c>
      <c r="D40" s="1">
        <v>1270</v>
      </c>
      <c r="E40" s="1">
        <v>950</v>
      </c>
      <c r="F40" s="1">
        <v>1</v>
      </c>
      <c r="G40" s="1">
        <v>15</v>
      </c>
      <c r="H40" s="3">
        <v>0.33657407407407408</v>
      </c>
      <c r="I40" s="1">
        <v>25</v>
      </c>
      <c r="J40" s="1">
        <v>90</v>
      </c>
      <c r="L40">
        <f t="shared" si="2"/>
        <v>90.39</v>
      </c>
    </row>
    <row r="41" spans="1:12" ht="14.4" customHeight="1" x14ac:dyDescent="0.3">
      <c r="A41" s="1">
        <v>16</v>
      </c>
      <c r="B41" s="1">
        <v>2030</v>
      </c>
      <c r="C41" s="1">
        <v>3245</v>
      </c>
      <c r="D41" s="1">
        <v>1625</v>
      </c>
      <c r="E41" s="1">
        <v>1215</v>
      </c>
      <c r="F41" s="1">
        <v>2</v>
      </c>
      <c r="G41" s="1">
        <v>18</v>
      </c>
      <c r="H41" s="3">
        <v>0.39386574074074077</v>
      </c>
      <c r="I41" s="1">
        <v>27</v>
      </c>
      <c r="J41" s="1">
        <v>96</v>
      </c>
      <c r="L41">
        <f t="shared" si="2"/>
        <v>96.415999999999997</v>
      </c>
    </row>
    <row r="42" spans="1:12" ht="14.4" customHeight="1" x14ac:dyDescent="0.3">
      <c r="A42" s="1">
        <v>17</v>
      </c>
      <c r="B42" s="1">
        <v>2595</v>
      </c>
      <c r="C42" s="1">
        <v>4155</v>
      </c>
      <c r="D42" s="1">
        <v>2075</v>
      </c>
      <c r="E42" s="1">
        <v>1560</v>
      </c>
      <c r="F42" s="1">
        <v>2</v>
      </c>
      <c r="G42" s="1">
        <v>22</v>
      </c>
      <c r="H42" s="3">
        <v>0.46030092592592592</v>
      </c>
      <c r="I42" s="1">
        <v>29</v>
      </c>
      <c r="J42" s="1">
        <v>102</v>
      </c>
      <c r="L42">
        <f t="shared" si="2"/>
        <v>102.44199999999999</v>
      </c>
    </row>
    <row r="43" spans="1:12" ht="14.4" customHeight="1" x14ac:dyDescent="0.3">
      <c r="A43" s="1">
        <v>18</v>
      </c>
      <c r="B43" s="1">
        <v>3325</v>
      </c>
      <c r="C43" s="1">
        <v>5315</v>
      </c>
      <c r="D43" s="1">
        <v>2660</v>
      </c>
      <c r="E43" s="1">
        <v>1995</v>
      </c>
      <c r="F43" s="1">
        <v>2</v>
      </c>
      <c r="G43" s="1">
        <v>27</v>
      </c>
      <c r="H43" s="3">
        <v>0.53749999999999998</v>
      </c>
      <c r="I43" s="1">
        <v>31</v>
      </c>
      <c r="J43" s="1">
        <v>108</v>
      </c>
      <c r="L43">
        <f t="shared" si="2"/>
        <v>108.46799999999999</v>
      </c>
    </row>
    <row r="44" spans="1:12" ht="14.4" customHeight="1" x14ac:dyDescent="0.3">
      <c r="A44" s="1">
        <v>19</v>
      </c>
      <c r="B44" s="1">
        <v>4255</v>
      </c>
      <c r="C44" s="1">
        <v>6805</v>
      </c>
      <c r="D44" s="1">
        <v>3405</v>
      </c>
      <c r="E44" s="1">
        <v>2550</v>
      </c>
      <c r="F44" s="1">
        <v>2</v>
      </c>
      <c r="G44" s="1">
        <v>32</v>
      </c>
      <c r="H44" s="3">
        <v>0.6269675925925926</v>
      </c>
      <c r="I44" s="1">
        <v>33</v>
      </c>
      <c r="J44" s="1">
        <v>114</v>
      </c>
      <c r="L44">
        <f t="shared" si="2"/>
        <v>114.494</v>
      </c>
    </row>
    <row r="45" spans="1:12" ht="14.4" customHeight="1" x14ac:dyDescent="0.3">
      <c r="A45" s="1">
        <v>20</v>
      </c>
      <c r="B45" s="1">
        <v>5445</v>
      </c>
      <c r="C45" s="1">
        <v>8710</v>
      </c>
      <c r="D45" s="1">
        <v>4355</v>
      </c>
      <c r="E45" s="1">
        <v>3265</v>
      </c>
      <c r="F45" s="1">
        <v>2</v>
      </c>
      <c r="G45" s="1">
        <v>38</v>
      </c>
      <c r="H45" s="3">
        <v>0.73067129629629635</v>
      </c>
      <c r="I45" s="1">
        <v>35</v>
      </c>
      <c r="J45" s="1">
        <v>120</v>
      </c>
      <c r="L45">
        <f t="shared" si="2"/>
        <v>120.52</v>
      </c>
    </row>
    <row r="46" spans="1:12" ht="14.4" customHeight="1" x14ac:dyDescent="0.3">
      <c r="A46" s="1"/>
      <c r="B46" s="1"/>
      <c r="C46" s="1"/>
      <c r="D46" s="1"/>
      <c r="E46" s="1"/>
      <c r="F46" s="1"/>
      <c r="G46" s="1"/>
      <c r="H46" s="3"/>
      <c r="I46" s="1"/>
    </row>
    <row r="48" spans="1:12" x14ac:dyDescent="0.3">
      <c r="A48" t="s">
        <v>92</v>
      </c>
      <c r="B48" t="s">
        <v>93</v>
      </c>
      <c r="D48" t="s">
        <v>105</v>
      </c>
    </row>
    <row r="49" spans="1:9" x14ac:dyDescent="0.3">
      <c r="A49" t="s">
        <v>94</v>
      </c>
      <c r="B49" t="s">
        <v>17</v>
      </c>
      <c r="C49" t="s">
        <v>18</v>
      </c>
      <c r="D49" t="s">
        <v>19</v>
      </c>
      <c r="E49" t="s">
        <v>20</v>
      </c>
      <c r="F49" t="s">
        <v>21</v>
      </c>
      <c r="G49" t="s">
        <v>95</v>
      </c>
      <c r="H49" t="s">
        <v>22</v>
      </c>
      <c r="I49" t="s">
        <v>96</v>
      </c>
    </row>
    <row r="50" spans="1:9" x14ac:dyDescent="0.3">
      <c r="A50" s="1">
        <v>1</v>
      </c>
      <c r="B50" s="1">
        <v>1600</v>
      </c>
      <c r="C50" s="1">
        <v>1250</v>
      </c>
      <c r="D50" s="1">
        <v>1050</v>
      </c>
      <c r="E50" s="1">
        <v>200</v>
      </c>
      <c r="F50" s="1">
        <v>1</v>
      </c>
      <c r="G50" s="1">
        <v>2</v>
      </c>
      <c r="H50" s="3">
        <v>2.3148148148148147E-2</v>
      </c>
      <c r="I50" s="1">
        <v>2</v>
      </c>
    </row>
    <row r="51" spans="1:9" x14ac:dyDescent="0.3">
      <c r="A51" s="1">
        <v>2</v>
      </c>
      <c r="B51" s="1">
        <v>1950</v>
      </c>
      <c r="C51" s="1">
        <v>1525</v>
      </c>
      <c r="D51" s="1">
        <v>1280</v>
      </c>
      <c r="E51" s="1">
        <v>245</v>
      </c>
      <c r="F51" s="1">
        <v>1</v>
      </c>
      <c r="G51" s="1">
        <v>3</v>
      </c>
      <c r="H51" s="3">
        <v>3.0324074074074073E-2</v>
      </c>
      <c r="I51" s="1">
        <v>8</v>
      </c>
    </row>
    <row r="52" spans="1:9" x14ac:dyDescent="0.3">
      <c r="A52" s="1">
        <v>3</v>
      </c>
      <c r="B52" s="1">
        <v>2380</v>
      </c>
      <c r="C52" s="1">
        <v>1860</v>
      </c>
      <c r="D52" s="1">
        <v>1565</v>
      </c>
      <c r="E52" s="1">
        <v>300</v>
      </c>
      <c r="F52" s="1">
        <v>1</v>
      </c>
      <c r="G52" s="1">
        <v>3</v>
      </c>
      <c r="H52" s="3">
        <v>3.8657407407407404E-2</v>
      </c>
      <c r="I52" s="1">
        <v>18</v>
      </c>
    </row>
    <row r="53" spans="1:9" x14ac:dyDescent="0.3">
      <c r="A53" s="1">
        <v>4</v>
      </c>
      <c r="B53" s="1">
        <v>2905</v>
      </c>
      <c r="C53" s="1">
        <v>2270</v>
      </c>
      <c r="D53" s="1">
        <v>1905</v>
      </c>
      <c r="E53" s="1">
        <v>365</v>
      </c>
      <c r="F53" s="1">
        <v>1</v>
      </c>
      <c r="G53" s="1">
        <v>4</v>
      </c>
      <c r="H53" s="3">
        <v>4.8263888888888891E-2</v>
      </c>
      <c r="I53" s="1">
        <v>32</v>
      </c>
    </row>
    <row r="54" spans="1:9" x14ac:dyDescent="0.3">
      <c r="A54" s="1">
        <v>5</v>
      </c>
      <c r="B54" s="1">
        <v>3545</v>
      </c>
      <c r="C54" s="1">
        <v>2770</v>
      </c>
      <c r="D54" s="1">
        <v>2325</v>
      </c>
      <c r="E54" s="1">
        <v>445</v>
      </c>
      <c r="F54" s="1">
        <v>1</v>
      </c>
      <c r="G54" s="1">
        <v>5</v>
      </c>
      <c r="H54" s="3">
        <v>5.949074074074074E-2</v>
      </c>
      <c r="I54" s="1">
        <v>50</v>
      </c>
    </row>
    <row r="55" spans="1:9" x14ac:dyDescent="0.3">
      <c r="A55" s="1">
        <v>6</v>
      </c>
      <c r="B55" s="1">
        <v>4325</v>
      </c>
      <c r="C55" s="1">
        <v>3380</v>
      </c>
      <c r="D55" s="1">
        <v>2840</v>
      </c>
      <c r="E55" s="1">
        <v>540</v>
      </c>
      <c r="F55" s="1">
        <v>1</v>
      </c>
      <c r="G55" s="1">
        <v>6</v>
      </c>
      <c r="H55" s="3">
        <v>7.2453703703703701E-2</v>
      </c>
      <c r="I55" s="1">
        <v>72</v>
      </c>
    </row>
    <row r="56" spans="1:9" x14ac:dyDescent="0.3">
      <c r="A56" s="1">
        <v>7</v>
      </c>
      <c r="B56" s="1">
        <v>5275</v>
      </c>
      <c r="C56" s="1">
        <v>4120</v>
      </c>
      <c r="D56" s="1">
        <v>3460</v>
      </c>
      <c r="E56" s="1">
        <v>660</v>
      </c>
      <c r="F56" s="1">
        <v>1</v>
      </c>
      <c r="G56" s="1">
        <v>7</v>
      </c>
      <c r="H56" s="3">
        <v>8.7615740740740744E-2</v>
      </c>
      <c r="I56" s="1">
        <v>98</v>
      </c>
    </row>
    <row r="57" spans="1:9" x14ac:dyDescent="0.3">
      <c r="A57" s="1">
        <v>8</v>
      </c>
      <c r="B57" s="1">
        <v>6435</v>
      </c>
      <c r="C57" s="1">
        <v>5030</v>
      </c>
      <c r="D57" s="1">
        <v>4225</v>
      </c>
      <c r="E57" s="1">
        <v>805</v>
      </c>
      <c r="F57" s="1">
        <v>1</v>
      </c>
      <c r="G57" s="1">
        <v>9</v>
      </c>
      <c r="H57" s="3">
        <v>0.1050925925925926</v>
      </c>
      <c r="I57" s="1">
        <v>128</v>
      </c>
    </row>
    <row r="58" spans="1:9" x14ac:dyDescent="0.3">
      <c r="A58" s="1">
        <v>9</v>
      </c>
      <c r="B58" s="1">
        <v>7850</v>
      </c>
      <c r="C58" s="1">
        <v>6135</v>
      </c>
      <c r="D58" s="1">
        <v>5155</v>
      </c>
      <c r="E58" s="1">
        <v>980</v>
      </c>
      <c r="F58" s="1">
        <v>1</v>
      </c>
      <c r="G58" s="1">
        <v>10</v>
      </c>
      <c r="H58" s="3">
        <v>0.12534722222222222</v>
      </c>
      <c r="I58" s="1">
        <v>162</v>
      </c>
    </row>
    <row r="59" spans="1:9" x14ac:dyDescent="0.3">
      <c r="A59" s="1">
        <v>10</v>
      </c>
      <c r="B59" s="1">
        <v>9580</v>
      </c>
      <c r="C59" s="1">
        <v>7485</v>
      </c>
      <c r="D59" s="1">
        <v>6285</v>
      </c>
      <c r="E59" s="1">
        <v>1195</v>
      </c>
      <c r="F59" s="1">
        <v>1</v>
      </c>
      <c r="G59" s="1">
        <v>12</v>
      </c>
      <c r="H59" s="3">
        <v>0.14884259259259258</v>
      </c>
      <c r="I59" s="1">
        <v>200</v>
      </c>
    </row>
    <row r="60" spans="1:9" x14ac:dyDescent="0.3">
      <c r="A60" s="1">
        <v>11</v>
      </c>
      <c r="B60" s="1">
        <v>11685</v>
      </c>
      <c r="C60" s="1">
        <v>9130</v>
      </c>
      <c r="D60" s="1">
        <v>7670</v>
      </c>
      <c r="E60" s="1">
        <v>1460</v>
      </c>
      <c r="F60" s="1">
        <v>2</v>
      </c>
      <c r="G60" s="1">
        <v>15</v>
      </c>
      <c r="H60" s="3">
        <v>0.1761574074074074</v>
      </c>
      <c r="I60" s="1">
        <v>242</v>
      </c>
    </row>
    <row r="61" spans="1:9" x14ac:dyDescent="0.3">
      <c r="A61" s="1">
        <v>12</v>
      </c>
      <c r="B61" s="1">
        <v>14260</v>
      </c>
      <c r="C61" s="1">
        <v>11140</v>
      </c>
      <c r="D61" s="1">
        <v>9355</v>
      </c>
      <c r="E61" s="1">
        <v>1780</v>
      </c>
      <c r="F61" s="1">
        <v>2</v>
      </c>
      <c r="G61" s="1">
        <v>18</v>
      </c>
      <c r="H61" s="3">
        <v>0.20775462962962962</v>
      </c>
      <c r="I61" s="1">
        <v>288</v>
      </c>
    </row>
    <row r="62" spans="1:9" x14ac:dyDescent="0.3">
      <c r="A62" s="1">
        <v>13</v>
      </c>
      <c r="B62" s="1">
        <v>17395</v>
      </c>
      <c r="C62" s="1">
        <v>13590</v>
      </c>
      <c r="D62" s="1">
        <v>11415</v>
      </c>
      <c r="E62" s="1">
        <v>2175</v>
      </c>
      <c r="F62" s="1">
        <v>2</v>
      </c>
      <c r="G62" s="1">
        <v>21</v>
      </c>
      <c r="H62" s="3">
        <v>0.24456018518518519</v>
      </c>
      <c r="I62" s="1">
        <v>338</v>
      </c>
    </row>
    <row r="63" spans="1:9" x14ac:dyDescent="0.3">
      <c r="A63" s="1">
        <v>14</v>
      </c>
      <c r="B63" s="1">
        <v>21225</v>
      </c>
      <c r="C63" s="1">
        <v>16580</v>
      </c>
      <c r="D63" s="1">
        <v>13925</v>
      </c>
      <c r="E63" s="1">
        <v>2655</v>
      </c>
      <c r="F63" s="1">
        <v>2</v>
      </c>
      <c r="G63" s="1">
        <v>26</v>
      </c>
      <c r="H63" s="3">
        <v>0.28715277777777776</v>
      </c>
      <c r="I63" s="1">
        <v>392</v>
      </c>
    </row>
    <row r="64" spans="1:9" x14ac:dyDescent="0.3">
      <c r="A64" s="1">
        <v>15</v>
      </c>
      <c r="B64" s="1">
        <v>25890</v>
      </c>
      <c r="C64" s="1">
        <v>20230</v>
      </c>
      <c r="D64" s="1">
        <v>16990</v>
      </c>
      <c r="E64" s="1">
        <v>3235</v>
      </c>
      <c r="F64" s="1">
        <v>2</v>
      </c>
      <c r="G64" s="1">
        <v>31</v>
      </c>
      <c r="H64" s="3">
        <v>0.33657407407407408</v>
      </c>
      <c r="I64" s="1">
        <v>450</v>
      </c>
    </row>
    <row r="65" spans="1:10" x14ac:dyDescent="0.3">
      <c r="A65" s="1">
        <v>16</v>
      </c>
      <c r="B65" s="1">
        <v>31590</v>
      </c>
      <c r="C65" s="1">
        <v>24680</v>
      </c>
      <c r="D65" s="1">
        <v>20730</v>
      </c>
      <c r="E65" s="1">
        <v>3950</v>
      </c>
      <c r="F65" s="1">
        <v>2</v>
      </c>
      <c r="G65" s="1">
        <v>37</v>
      </c>
      <c r="H65" s="3">
        <v>0.39386574074074077</v>
      </c>
      <c r="I65" s="1">
        <v>512</v>
      </c>
    </row>
    <row r="66" spans="1:10" x14ac:dyDescent="0.3">
      <c r="A66" s="1">
        <v>17</v>
      </c>
      <c r="B66" s="1">
        <v>38535</v>
      </c>
      <c r="C66" s="1">
        <v>30105</v>
      </c>
      <c r="D66" s="1">
        <v>25290</v>
      </c>
      <c r="E66" s="1">
        <v>4815</v>
      </c>
      <c r="F66" s="1">
        <v>2</v>
      </c>
      <c r="G66" s="1">
        <v>44</v>
      </c>
      <c r="H66" s="3">
        <v>0.46030092592592592</v>
      </c>
      <c r="I66" s="1">
        <v>578</v>
      </c>
    </row>
    <row r="67" spans="1:10" x14ac:dyDescent="0.3">
      <c r="A67" s="1">
        <v>18</v>
      </c>
      <c r="B67" s="1">
        <v>47015</v>
      </c>
      <c r="C67" s="1">
        <v>36730</v>
      </c>
      <c r="D67" s="1">
        <v>30855</v>
      </c>
      <c r="E67" s="1">
        <v>5875</v>
      </c>
      <c r="F67" s="1">
        <v>2</v>
      </c>
      <c r="G67" s="1">
        <v>53</v>
      </c>
      <c r="H67" s="3">
        <v>0.53749999999999998</v>
      </c>
      <c r="I67" s="1">
        <v>648</v>
      </c>
    </row>
    <row r="68" spans="1:10" x14ac:dyDescent="0.3">
      <c r="A68" s="1">
        <v>19</v>
      </c>
      <c r="B68" s="1">
        <v>57360</v>
      </c>
      <c r="C68" s="1">
        <v>44810</v>
      </c>
      <c r="D68" s="1">
        <v>37640</v>
      </c>
      <c r="E68" s="1">
        <v>7170</v>
      </c>
      <c r="F68" s="1">
        <v>2</v>
      </c>
      <c r="G68" s="1">
        <v>64</v>
      </c>
      <c r="H68" s="3">
        <v>0.6269675925925926</v>
      </c>
      <c r="I68" s="1">
        <v>722</v>
      </c>
    </row>
    <row r="69" spans="1:10" x14ac:dyDescent="0.3">
      <c r="A69" s="1">
        <v>20</v>
      </c>
      <c r="B69" s="1">
        <v>69975</v>
      </c>
      <c r="C69" s="1">
        <v>54670</v>
      </c>
      <c r="D69" s="1">
        <v>45925</v>
      </c>
      <c r="E69" s="1">
        <v>8745</v>
      </c>
      <c r="F69" s="1">
        <v>2</v>
      </c>
      <c r="G69" s="1">
        <v>77</v>
      </c>
      <c r="H69" s="3">
        <v>0.73067129629629635</v>
      </c>
      <c r="I69" s="1">
        <v>800</v>
      </c>
    </row>
    <row r="71" spans="1:10" x14ac:dyDescent="0.3">
      <c r="A71" t="s">
        <v>101</v>
      </c>
      <c r="B71" t="s">
        <v>100</v>
      </c>
      <c r="D71" t="s">
        <v>103</v>
      </c>
    </row>
    <row r="72" spans="1:10" x14ac:dyDescent="0.3">
      <c r="A72" t="s">
        <v>94</v>
      </c>
      <c r="B72" t="s">
        <v>17</v>
      </c>
      <c r="C72" t="s">
        <v>18</v>
      </c>
      <c r="D72" t="s">
        <v>19</v>
      </c>
      <c r="E72" t="s">
        <v>20</v>
      </c>
      <c r="F72" t="s">
        <v>21</v>
      </c>
      <c r="G72" t="s">
        <v>95</v>
      </c>
      <c r="H72" t="s">
        <v>22</v>
      </c>
      <c r="I72" t="s">
        <v>96</v>
      </c>
      <c r="J72" t="s">
        <v>116</v>
      </c>
    </row>
    <row r="73" spans="1:10" x14ac:dyDescent="0.3">
      <c r="A73" s="1">
        <v>1</v>
      </c>
      <c r="B73" s="1">
        <v>910</v>
      </c>
      <c r="C73" s="1">
        <v>945</v>
      </c>
      <c r="D73" s="1">
        <v>910</v>
      </c>
      <c r="E73" s="1">
        <v>340</v>
      </c>
      <c r="F73" s="1">
        <v>1</v>
      </c>
      <c r="G73" s="1">
        <v>2</v>
      </c>
      <c r="H73" s="3">
        <v>2.3148148148148147E-2</v>
      </c>
      <c r="I73" s="1">
        <v>0.05</v>
      </c>
    </row>
    <row r="74" spans="1:10" x14ac:dyDescent="0.3">
      <c r="A74" s="1">
        <v>2</v>
      </c>
      <c r="B74" s="1">
        <v>1190</v>
      </c>
      <c r="C74" s="1">
        <v>1240</v>
      </c>
      <c r="D74" s="1">
        <v>1190</v>
      </c>
      <c r="E74" s="1">
        <v>445</v>
      </c>
      <c r="F74" s="1">
        <v>1</v>
      </c>
      <c r="G74" s="1">
        <v>3</v>
      </c>
      <c r="H74" s="3">
        <v>3.0324074074074073E-2</v>
      </c>
      <c r="I74" s="1">
        <v>0.1</v>
      </c>
    </row>
    <row r="75" spans="1:10" x14ac:dyDescent="0.3">
      <c r="A75" s="1">
        <v>3</v>
      </c>
      <c r="B75" s="1">
        <v>1560</v>
      </c>
      <c r="C75" s="1">
        <v>1620</v>
      </c>
      <c r="D75" s="1">
        <v>1560</v>
      </c>
      <c r="E75" s="1">
        <v>585</v>
      </c>
      <c r="F75" s="1">
        <v>1</v>
      </c>
      <c r="G75" s="1">
        <v>3</v>
      </c>
      <c r="H75" s="3">
        <v>3.8657407407407404E-2</v>
      </c>
      <c r="I75" s="1">
        <v>0.15</v>
      </c>
    </row>
    <row r="76" spans="1:10" x14ac:dyDescent="0.3">
      <c r="A76" s="1">
        <v>4</v>
      </c>
      <c r="B76" s="1">
        <v>2045</v>
      </c>
      <c r="C76" s="1">
        <v>2125</v>
      </c>
      <c r="D76" s="1">
        <v>2045</v>
      </c>
      <c r="E76" s="1">
        <v>765</v>
      </c>
      <c r="F76" s="1">
        <v>1</v>
      </c>
      <c r="G76" s="1">
        <v>4</v>
      </c>
      <c r="H76" s="3">
        <v>4.8263888888888891E-2</v>
      </c>
      <c r="I76" s="1">
        <v>0.2</v>
      </c>
    </row>
    <row r="77" spans="1:10" x14ac:dyDescent="0.3">
      <c r="A77" s="1">
        <v>5</v>
      </c>
      <c r="B77" s="1">
        <v>2680</v>
      </c>
      <c r="C77" s="1">
        <v>2785</v>
      </c>
      <c r="D77" s="1">
        <v>2680</v>
      </c>
      <c r="E77" s="1">
        <v>1000</v>
      </c>
      <c r="F77" s="1">
        <v>1</v>
      </c>
      <c r="G77" s="1">
        <v>5</v>
      </c>
      <c r="H77" s="3">
        <v>5.949074074074074E-2</v>
      </c>
      <c r="I77" s="1">
        <v>0.25</v>
      </c>
    </row>
    <row r="78" spans="1:10" x14ac:dyDescent="0.3">
      <c r="A78" s="1">
        <v>6</v>
      </c>
      <c r="B78" s="1">
        <v>3510</v>
      </c>
      <c r="C78" s="1">
        <v>3645</v>
      </c>
      <c r="D78" s="1">
        <v>3510</v>
      </c>
      <c r="E78" s="1">
        <v>1310</v>
      </c>
      <c r="F78" s="1">
        <v>1</v>
      </c>
      <c r="G78" s="1">
        <v>6</v>
      </c>
      <c r="H78" s="3">
        <v>7.2453703703703701E-2</v>
      </c>
      <c r="I78" s="1">
        <v>0.3</v>
      </c>
    </row>
    <row r="79" spans="1:10" x14ac:dyDescent="0.3">
      <c r="A79" s="1">
        <v>7</v>
      </c>
      <c r="B79" s="1">
        <v>4600</v>
      </c>
      <c r="C79" s="1">
        <v>4775</v>
      </c>
      <c r="D79" s="1">
        <v>4600</v>
      </c>
      <c r="E79" s="1">
        <v>1720</v>
      </c>
      <c r="F79" s="1">
        <v>1</v>
      </c>
      <c r="G79" s="1">
        <v>7</v>
      </c>
      <c r="H79" s="3">
        <v>8.7615740740740744E-2</v>
      </c>
      <c r="I79" s="1">
        <v>0.35</v>
      </c>
    </row>
    <row r="80" spans="1:10" x14ac:dyDescent="0.3">
      <c r="A80" s="1">
        <v>8</v>
      </c>
      <c r="B80" s="1">
        <v>6025</v>
      </c>
      <c r="C80" s="1">
        <v>6255</v>
      </c>
      <c r="D80" s="1">
        <v>6025</v>
      </c>
      <c r="E80" s="1">
        <v>2250</v>
      </c>
      <c r="F80" s="1">
        <v>1</v>
      </c>
      <c r="G80" s="1">
        <v>9</v>
      </c>
      <c r="H80" s="3">
        <v>0.1050925925925926</v>
      </c>
      <c r="I80" s="1">
        <v>0.4</v>
      </c>
    </row>
    <row r="81" spans="1:10" x14ac:dyDescent="0.3">
      <c r="A81" s="1">
        <v>9</v>
      </c>
      <c r="B81" s="1">
        <v>7890</v>
      </c>
      <c r="C81" s="1">
        <v>8195</v>
      </c>
      <c r="D81" s="1">
        <v>7890</v>
      </c>
      <c r="E81" s="1">
        <v>2950</v>
      </c>
      <c r="F81" s="1">
        <v>1</v>
      </c>
      <c r="G81" s="1">
        <v>10</v>
      </c>
      <c r="H81" s="3">
        <v>0.12534722222222222</v>
      </c>
      <c r="I81" s="1">
        <v>0.45</v>
      </c>
    </row>
    <row r="82" spans="1:10" x14ac:dyDescent="0.3">
      <c r="A82" s="1">
        <v>10</v>
      </c>
      <c r="B82" s="1">
        <v>10340</v>
      </c>
      <c r="C82" s="1">
        <v>10735</v>
      </c>
      <c r="D82" s="1">
        <v>10340</v>
      </c>
      <c r="E82" s="1">
        <v>3865</v>
      </c>
      <c r="F82" s="1">
        <v>1</v>
      </c>
      <c r="G82" s="1">
        <v>12</v>
      </c>
      <c r="H82" s="3">
        <v>0.14884259259259258</v>
      </c>
      <c r="I82" s="1">
        <v>0.5</v>
      </c>
    </row>
    <row r="83" spans="1:10" x14ac:dyDescent="0.3">
      <c r="A83" s="1">
        <v>11</v>
      </c>
      <c r="B83" s="1">
        <v>13545</v>
      </c>
      <c r="C83" s="1">
        <v>14065</v>
      </c>
      <c r="D83" s="1">
        <v>13545</v>
      </c>
      <c r="E83" s="1">
        <v>5060</v>
      </c>
      <c r="F83" s="1">
        <v>2</v>
      </c>
      <c r="G83" s="1">
        <v>15</v>
      </c>
      <c r="H83" s="3">
        <v>0.1761574074074074</v>
      </c>
      <c r="I83" s="1">
        <v>0.55000000000000004</v>
      </c>
    </row>
    <row r="84" spans="1:10" x14ac:dyDescent="0.3">
      <c r="A84" s="1">
        <v>12</v>
      </c>
      <c r="B84" s="1">
        <v>17745</v>
      </c>
      <c r="C84" s="1">
        <v>18425</v>
      </c>
      <c r="D84" s="1">
        <v>17745</v>
      </c>
      <c r="E84" s="1">
        <v>6630</v>
      </c>
      <c r="F84" s="1">
        <v>2</v>
      </c>
      <c r="G84" s="1">
        <v>18</v>
      </c>
      <c r="H84" s="3">
        <v>0.20775462962962962</v>
      </c>
      <c r="I84" s="1">
        <v>0.6</v>
      </c>
    </row>
    <row r="85" spans="1:10" x14ac:dyDescent="0.3">
      <c r="A85" s="1">
        <v>13</v>
      </c>
      <c r="B85" s="1">
        <v>23245</v>
      </c>
      <c r="C85" s="1">
        <v>24135</v>
      </c>
      <c r="D85" s="1">
        <v>23245</v>
      </c>
      <c r="E85" s="1">
        <v>8685</v>
      </c>
      <c r="F85" s="1">
        <v>2</v>
      </c>
      <c r="G85" s="1">
        <v>21</v>
      </c>
      <c r="H85" s="3">
        <v>0.24456018518518519</v>
      </c>
      <c r="I85" s="1">
        <v>0.65</v>
      </c>
    </row>
    <row r="86" spans="1:10" x14ac:dyDescent="0.3">
      <c r="A86" s="1">
        <v>14</v>
      </c>
      <c r="B86" s="1">
        <v>30450</v>
      </c>
      <c r="C86" s="1">
        <v>31620</v>
      </c>
      <c r="D86" s="1">
        <v>30450</v>
      </c>
      <c r="E86" s="1">
        <v>11375</v>
      </c>
      <c r="F86" s="1">
        <v>2</v>
      </c>
      <c r="G86" s="1">
        <v>26</v>
      </c>
      <c r="H86" s="3">
        <v>0.28715277777777776</v>
      </c>
      <c r="I86" s="1">
        <v>0.7</v>
      </c>
    </row>
    <row r="87" spans="1:10" x14ac:dyDescent="0.3">
      <c r="A87" s="1">
        <v>15</v>
      </c>
      <c r="B87" s="1">
        <v>39890</v>
      </c>
      <c r="C87" s="1">
        <v>41420</v>
      </c>
      <c r="D87" s="1">
        <v>39890</v>
      </c>
      <c r="E87" s="1">
        <v>14905</v>
      </c>
      <c r="F87" s="1">
        <v>2</v>
      </c>
      <c r="G87" s="1">
        <v>31</v>
      </c>
      <c r="H87" s="3">
        <v>0.33657407407407408</v>
      </c>
      <c r="I87" s="1">
        <v>0.75</v>
      </c>
    </row>
    <row r="88" spans="1:10" x14ac:dyDescent="0.3">
      <c r="A88" s="1">
        <v>16</v>
      </c>
      <c r="B88" s="1">
        <v>52255</v>
      </c>
      <c r="C88" s="1">
        <v>54265</v>
      </c>
      <c r="D88" s="1">
        <v>52255</v>
      </c>
      <c r="E88" s="1">
        <v>19525</v>
      </c>
      <c r="F88" s="1">
        <v>2</v>
      </c>
      <c r="G88" s="1">
        <v>37</v>
      </c>
      <c r="H88" s="3">
        <v>0.39386574074074077</v>
      </c>
      <c r="I88" s="1">
        <v>0.8</v>
      </c>
    </row>
    <row r="89" spans="1:10" x14ac:dyDescent="0.3">
      <c r="A89" s="1">
        <v>17</v>
      </c>
      <c r="B89" s="1">
        <v>68450</v>
      </c>
      <c r="C89" s="1">
        <v>71085</v>
      </c>
      <c r="D89" s="1">
        <v>68450</v>
      </c>
      <c r="E89" s="1">
        <v>25575</v>
      </c>
      <c r="F89" s="1">
        <v>2</v>
      </c>
      <c r="G89" s="1">
        <v>44</v>
      </c>
      <c r="H89" s="3">
        <v>0.46030092592592592</v>
      </c>
      <c r="I89" s="1">
        <v>0.85</v>
      </c>
    </row>
    <row r="90" spans="1:10" x14ac:dyDescent="0.3">
      <c r="A90" s="1">
        <v>18</v>
      </c>
      <c r="B90" s="1">
        <v>89670</v>
      </c>
      <c r="C90" s="1">
        <v>93120</v>
      </c>
      <c r="D90" s="1">
        <v>89670</v>
      </c>
      <c r="E90" s="1">
        <v>33505</v>
      </c>
      <c r="F90" s="1">
        <v>2</v>
      </c>
      <c r="G90" s="1">
        <v>53</v>
      </c>
      <c r="H90" s="3">
        <v>0.53749999999999998</v>
      </c>
      <c r="I90" s="1">
        <v>0.9</v>
      </c>
    </row>
    <row r="91" spans="1:10" x14ac:dyDescent="0.3">
      <c r="A91" s="1">
        <v>19</v>
      </c>
      <c r="B91" s="1">
        <v>117470</v>
      </c>
      <c r="C91" s="1">
        <v>121985</v>
      </c>
      <c r="D91" s="1">
        <v>117470</v>
      </c>
      <c r="E91" s="1">
        <v>43890</v>
      </c>
      <c r="F91" s="1">
        <v>2</v>
      </c>
      <c r="G91" s="1">
        <v>64</v>
      </c>
      <c r="H91" s="3">
        <v>0.6269675925925926</v>
      </c>
      <c r="I91" s="1">
        <v>0.95</v>
      </c>
    </row>
    <row r="92" spans="1:10" x14ac:dyDescent="0.3">
      <c r="A92" s="1">
        <v>20</v>
      </c>
      <c r="B92" s="1">
        <v>153885</v>
      </c>
      <c r="C92" s="1">
        <v>159805</v>
      </c>
      <c r="D92" s="1">
        <v>153885</v>
      </c>
      <c r="E92" s="1">
        <v>57495</v>
      </c>
      <c r="F92" s="1">
        <v>2</v>
      </c>
      <c r="G92" s="1">
        <v>77</v>
      </c>
      <c r="H92" s="3">
        <v>0.73067129629629635</v>
      </c>
      <c r="I92" s="1">
        <v>1</v>
      </c>
    </row>
    <row r="94" spans="1:10" x14ac:dyDescent="0.3">
      <c r="A94" t="s">
        <v>98</v>
      </c>
      <c r="B94" t="s">
        <v>99</v>
      </c>
    </row>
    <row r="95" spans="1:10" x14ac:dyDescent="0.3">
      <c r="A95" t="s">
        <v>94</v>
      </c>
      <c r="B95" t="s">
        <v>17</v>
      </c>
      <c r="C95" t="s">
        <v>18</v>
      </c>
      <c r="D95" t="s">
        <v>19</v>
      </c>
      <c r="E95" t="s">
        <v>20</v>
      </c>
      <c r="F95" t="s">
        <v>21</v>
      </c>
      <c r="G95" t="s">
        <v>95</v>
      </c>
      <c r="H95" t="s">
        <v>22</v>
      </c>
      <c r="I95" t="s">
        <v>96</v>
      </c>
      <c r="J95" t="s">
        <v>117</v>
      </c>
    </row>
    <row r="96" spans="1:10" x14ac:dyDescent="0.3">
      <c r="A96" s="1">
        <v>1</v>
      </c>
      <c r="B96" s="1">
        <v>320</v>
      </c>
      <c r="C96" s="1">
        <v>280</v>
      </c>
      <c r="D96" s="1">
        <v>420</v>
      </c>
      <c r="E96" s="1">
        <v>360</v>
      </c>
      <c r="F96" s="1">
        <v>3</v>
      </c>
      <c r="G96" s="1">
        <v>5</v>
      </c>
      <c r="H96" s="3">
        <v>3.4722222222222224E-2</v>
      </c>
      <c r="I96" s="1">
        <v>1</v>
      </c>
    </row>
    <row r="97" spans="1:9" x14ac:dyDescent="0.3">
      <c r="A97" s="1">
        <v>2</v>
      </c>
      <c r="B97" s="1">
        <v>410</v>
      </c>
      <c r="C97" s="1">
        <v>360</v>
      </c>
      <c r="D97" s="1">
        <v>540</v>
      </c>
      <c r="E97" s="1">
        <v>460</v>
      </c>
      <c r="F97" s="1">
        <v>2</v>
      </c>
      <c r="G97" s="1">
        <v>6</v>
      </c>
      <c r="H97" s="3">
        <v>4.3749999999999997E-2</v>
      </c>
      <c r="I97" s="1">
        <v>0.9</v>
      </c>
    </row>
    <row r="98" spans="1:9" x14ac:dyDescent="0.3">
      <c r="A98" s="1">
        <v>3</v>
      </c>
      <c r="B98" s="1">
        <v>525</v>
      </c>
      <c r="C98" s="1">
        <v>460</v>
      </c>
      <c r="D98" s="1">
        <v>690</v>
      </c>
      <c r="E98" s="1">
        <v>590</v>
      </c>
      <c r="F98" s="1">
        <v>2</v>
      </c>
      <c r="G98" s="1">
        <v>7</v>
      </c>
      <c r="H98" s="3">
        <v>5.4166666666666669E-2</v>
      </c>
      <c r="I98" s="1">
        <v>0.81</v>
      </c>
    </row>
    <row r="99" spans="1:9" x14ac:dyDescent="0.3">
      <c r="A99" s="1">
        <v>4</v>
      </c>
      <c r="B99" s="1">
        <v>670</v>
      </c>
      <c r="C99" s="1">
        <v>585</v>
      </c>
      <c r="D99" s="1">
        <v>880</v>
      </c>
      <c r="E99" s="1">
        <v>755</v>
      </c>
      <c r="F99" s="1">
        <v>2</v>
      </c>
      <c r="G99" s="1">
        <v>8</v>
      </c>
      <c r="H99" s="3">
        <v>6.6319444444444445E-2</v>
      </c>
      <c r="I99" s="1">
        <v>0.72899999999999998</v>
      </c>
    </row>
    <row r="100" spans="1:9" x14ac:dyDescent="0.3">
      <c r="A100" s="1">
        <v>5</v>
      </c>
      <c r="B100" s="1">
        <v>860</v>
      </c>
      <c r="C100" s="1">
        <v>750</v>
      </c>
      <c r="D100" s="1">
        <v>1125</v>
      </c>
      <c r="E100" s="1">
        <v>965</v>
      </c>
      <c r="F100" s="1">
        <v>2</v>
      </c>
      <c r="G100" s="1">
        <v>10</v>
      </c>
      <c r="H100" s="3">
        <v>8.0439814814814811E-2</v>
      </c>
      <c r="I100" s="1">
        <v>0.65600000000000003</v>
      </c>
    </row>
    <row r="101" spans="1:9" x14ac:dyDescent="0.3">
      <c r="A101" s="1">
        <v>6</v>
      </c>
      <c r="B101" s="1">
        <v>1100</v>
      </c>
      <c r="C101" s="1">
        <v>960</v>
      </c>
      <c r="D101" s="1">
        <v>1445</v>
      </c>
      <c r="E101" s="1">
        <v>1235</v>
      </c>
      <c r="F101" s="1">
        <v>2</v>
      </c>
      <c r="G101" s="1">
        <v>12</v>
      </c>
      <c r="H101" s="3">
        <v>9.6759259259259253E-2</v>
      </c>
      <c r="I101" s="1">
        <v>0.59</v>
      </c>
    </row>
    <row r="102" spans="1:9" x14ac:dyDescent="0.3">
      <c r="A102" s="1">
        <v>7</v>
      </c>
      <c r="B102" s="1">
        <v>1405</v>
      </c>
      <c r="C102" s="1">
        <v>1230</v>
      </c>
      <c r="D102" s="1">
        <v>1845</v>
      </c>
      <c r="E102" s="1">
        <v>1585</v>
      </c>
      <c r="F102" s="1">
        <v>2</v>
      </c>
      <c r="G102" s="1">
        <v>14</v>
      </c>
      <c r="H102" s="3">
        <v>0.11574074074074074</v>
      </c>
      <c r="I102" s="1">
        <v>0.53100000000000003</v>
      </c>
    </row>
    <row r="103" spans="1:9" x14ac:dyDescent="0.3">
      <c r="A103" s="1">
        <v>8</v>
      </c>
      <c r="B103" s="1">
        <v>1800</v>
      </c>
      <c r="C103" s="1">
        <v>1575</v>
      </c>
      <c r="D103" s="1">
        <v>2365</v>
      </c>
      <c r="E103" s="1">
        <v>2025</v>
      </c>
      <c r="F103" s="1">
        <v>2</v>
      </c>
      <c r="G103" s="1">
        <v>17</v>
      </c>
      <c r="H103" s="3">
        <v>0.13773148148148148</v>
      </c>
      <c r="I103" s="1">
        <v>0.47799999999999998</v>
      </c>
    </row>
    <row r="104" spans="1:9" x14ac:dyDescent="0.3">
      <c r="A104" s="1">
        <v>9</v>
      </c>
      <c r="B104" s="1">
        <v>2305</v>
      </c>
      <c r="C104" s="1">
        <v>2020</v>
      </c>
      <c r="D104" s="1">
        <v>3025</v>
      </c>
      <c r="E104" s="1">
        <v>2595</v>
      </c>
      <c r="F104" s="1">
        <v>2</v>
      </c>
      <c r="G104" s="1">
        <v>21</v>
      </c>
      <c r="H104" s="3">
        <v>0.1633101851851852</v>
      </c>
      <c r="I104" s="1">
        <v>0.43</v>
      </c>
    </row>
    <row r="105" spans="1:9" x14ac:dyDescent="0.3">
      <c r="A105" s="1">
        <v>10</v>
      </c>
      <c r="B105" s="1">
        <v>2950</v>
      </c>
      <c r="C105" s="1">
        <v>2585</v>
      </c>
      <c r="D105" s="1">
        <v>3875</v>
      </c>
      <c r="E105" s="1">
        <v>3320</v>
      </c>
      <c r="F105" s="1">
        <v>2</v>
      </c>
      <c r="G105" s="1">
        <v>25</v>
      </c>
      <c r="H105" s="3">
        <v>0.19282407407407406</v>
      </c>
      <c r="I105" s="1">
        <v>0.38700000000000001</v>
      </c>
    </row>
    <row r="106" spans="1:9" x14ac:dyDescent="0.3">
      <c r="A106" s="1">
        <v>11</v>
      </c>
      <c r="B106" s="1">
        <v>3780</v>
      </c>
      <c r="C106" s="1">
        <v>3305</v>
      </c>
      <c r="D106" s="1">
        <v>4960</v>
      </c>
      <c r="E106" s="1">
        <v>4250</v>
      </c>
      <c r="F106" s="1">
        <v>3</v>
      </c>
      <c r="G106" s="1">
        <v>30</v>
      </c>
      <c r="H106" s="3">
        <v>0.22719907407407408</v>
      </c>
      <c r="I106" s="1">
        <v>0.34899999999999998</v>
      </c>
    </row>
    <row r="107" spans="1:9" x14ac:dyDescent="0.3">
      <c r="A107" s="1">
        <v>12</v>
      </c>
      <c r="B107" s="1">
        <v>4835</v>
      </c>
      <c r="C107" s="1">
        <v>4230</v>
      </c>
      <c r="D107" s="1">
        <v>6345</v>
      </c>
      <c r="E107" s="1">
        <v>5440</v>
      </c>
      <c r="F107" s="1">
        <v>3</v>
      </c>
      <c r="G107" s="1">
        <v>36</v>
      </c>
      <c r="H107" s="3">
        <v>0.26701388888888888</v>
      </c>
      <c r="I107" s="1">
        <v>0.314</v>
      </c>
    </row>
    <row r="108" spans="1:9" x14ac:dyDescent="0.3">
      <c r="A108" s="1">
        <v>13</v>
      </c>
      <c r="B108" s="1">
        <v>6190</v>
      </c>
      <c r="C108" s="1">
        <v>5415</v>
      </c>
      <c r="D108" s="1">
        <v>8125</v>
      </c>
      <c r="E108" s="1">
        <v>6965</v>
      </c>
      <c r="F108" s="1">
        <v>3</v>
      </c>
      <c r="G108" s="1">
        <v>43</v>
      </c>
      <c r="H108" s="3">
        <v>0.31319444444444444</v>
      </c>
      <c r="I108" s="1">
        <v>0.28199999999999997</v>
      </c>
    </row>
    <row r="109" spans="1:9" x14ac:dyDescent="0.3">
      <c r="A109" s="1">
        <v>14</v>
      </c>
      <c r="B109" s="1">
        <v>7925</v>
      </c>
      <c r="C109" s="1">
        <v>6930</v>
      </c>
      <c r="D109" s="1">
        <v>10400</v>
      </c>
      <c r="E109" s="1">
        <v>8915</v>
      </c>
      <c r="F109" s="1">
        <v>3</v>
      </c>
      <c r="G109" s="1">
        <v>51</v>
      </c>
      <c r="H109" s="3">
        <v>0.36678240740740742</v>
      </c>
      <c r="I109" s="1">
        <v>0.254</v>
      </c>
    </row>
    <row r="110" spans="1:9" x14ac:dyDescent="0.3">
      <c r="A110" s="1">
        <v>15</v>
      </c>
      <c r="B110" s="1">
        <v>10140</v>
      </c>
      <c r="C110" s="1">
        <v>8875</v>
      </c>
      <c r="D110" s="1">
        <v>13310</v>
      </c>
      <c r="E110" s="1">
        <v>11410</v>
      </c>
      <c r="F110" s="1">
        <v>3</v>
      </c>
      <c r="G110" s="1">
        <v>62</v>
      </c>
      <c r="H110" s="3">
        <v>0.4289351851851852</v>
      </c>
      <c r="I110" s="1">
        <v>0.22900000000000001</v>
      </c>
    </row>
    <row r="111" spans="1:9" x14ac:dyDescent="0.3">
      <c r="A111" s="1">
        <v>16</v>
      </c>
      <c r="B111" s="1">
        <v>12980</v>
      </c>
      <c r="C111" s="1">
        <v>11360</v>
      </c>
      <c r="D111" s="1">
        <v>17035</v>
      </c>
      <c r="E111" s="1">
        <v>14605</v>
      </c>
      <c r="F111" s="1">
        <v>3</v>
      </c>
      <c r="G111" s="1">
        <v>74</v>
      </c>
      <c r="H111" s="3">
        <v>0.50104166666666672</v>
      </c>
      <c r="I111" s="1">
        <v>0.20599999999999999</v>
      </c>
    </row>
    <row r="112" spans="1:9" x14ac:dyDescent="0.3">
      <c r="A112" s="1">
        <v>17</v>
      </c>
      <c r="B112" s="1">
        <v>16615</v>
      </c>
      <c r="C112" s="1">
        <v>14540</v>
      </c>
      <c r="D112" s="1">
        <v>21810</v>
      </c>
      <c r="E112" s="1">
        <v>18690</v>
      </c>
      <c r="F112" s="1">
        <v>3</v>
      </c>
      <c r="G112" s="1">
        <v>89</v>
      </c>
      <c r="H112" s="3">
        <v>0.58472222222222225</v>
      </c>
      <c r="I112" s="1">
        <v>0.185</v>
      </c>
    </row>
    <row r="113" spans="1:13" x14ac:dyDescent="0.3">
      <c r="A113" s="1">
        <v>18</v>
      </c>
      <c r="B113" s="1">
        <v>21270</v>
      </c>
      <c r="C113" s="1">
        <v>18610</v>
      </c>
      <c r="D113" s="1">
        <v>27915</v>
      </c>
      <c r="E113" s="1">
        <v>23925</v>
      </c>
      <c r="F113" s="1">
        <v>3</v>
      </c>
      <c r="G113" s="1">
        <v>106</v>
      </c>
      <c r="H113" s="3">
        <v>0.68171296296296291</v>
      </c>
      <c r="I113" s="1">
        <v>0.16700000000000001</v>
      </c>
    </row>
    <row r="114" spans="1:13" x14ac:dyDescent="0.3">
      <c r="A114" s="1">
        <v>19</v>
      </c>
      <c r="B114" s="1">
        <v>27225</v>
      </c>
      <c r="C114" s="1">
        <v>23820</v>
      </c>
      <c r="D114" s="1">
        <v>35730</v>
      </c>
      <c r="E114" s="1">
        <v>30625</v>
      </c>
      <c r="F114" s="1">
        <v>3</v>
      </c>
      <c r="G114" s="1">
        <v>128</v>
      </c>
      <c r="H114" s="3">
        <v>0.79432870370370368</v>
      </c>
      <c r="I114" s="1">
        <v>0.15</v>
      </c>
    </row>
    <row r="115" spans="1:13" x14ac:dyDescent="0.3">
      <c r="A115" s="1">
        <v>20</v>
      </c>
      <c r="B115" s="1">
        <v>34845</v>
      </c>
      <c r="C115" s="1">
        <v>30490</v>
      </c>
      <c r="D115" s="1">
        <v>45735</v>
      </c>
      <c r="E115" s="1">
        <v>39200</v>
      </c>
      <c r="F115" s="1">
        <v>3</v>
      </c>
      <c r="G115" s="1">
        <v>153</v>
      </c>
      <c r="H115" s="3">
        <v>0.92488425925925921</v>
      </c>
      <c r="I115" s="1">
        <v>0.13500000000000001</v>
      </c>
    </row>
    <row r="117" spans="1:13" x14ac:dyDescent="0.3">
      <c r="A117" t="s">
        <v>113</v>
      </c>
      <c r="B117" t="s">
        <v>108</v>
      </c>
      <c r="D117" t="s">
        <v>109</v>
      </c>
    </row>
    <row r="118" spans="1:13" x14ac:dyDescent="0.3">
      <c r="A118" t="s">
        <v>94</v>
      </c>
      <c r="B118" t="s">
        <v>17</v>
      </c>
      <c r="C118" t="s">
        <v>18</v>
      </c>
      <c r="D118" t="s">
        <v>19</v>
      </c>
      <c r="E118" t="s">
        <v>20</v>
      </c>
      <c r="F118" t="s">
        <v>21</v>
      </c>
      <c r="G118" t="s">
        <v>95</v>
      </c>
      <c r="H118" t="s">
        <v>22</v>
      </c>
      <c r="I118" t="s">
        <v>96</v>
      </c>
      <c r="J118" t="s">
        <v>102</v>
      </c>
    </row>
    <row r="119" spans="1:13" x14ac:dyDescent="0.3">
      <c r="A119" s="1">
        <v>1</v>
      </c>
      <c r="B119" s="1">
        <v>160</v>
      </c>
      <c r="C119" s="1">
        <v>100</v>
      </c>
      <c r="D119" s="1">
        <v>80</v>
      </c>
      <c r="E119" s="1">
        <v>60</v>
      </c>
      <c r="F119" s="1">
        <v>0</v>
      </c>
      <c r="G119" s="1">
        <v>1</v>
      </c>
      <c r="H119" s="2">
        <v>2.3148148148148147E-2</v>
      </c>
      <c r="I119" s="6">
        <v>2</v>
      </c>
      <c r="J119" s="1">
        <v>10</v>
      </c>
    </row>
    <row r="120" spans="1:13" x14ac:dyDescent="0.3">
      <c r="A120" s="1">
        <v>2</v>
      </c>
      <c r="B120" s="1">
        <v>205</v>
      </c>
      <c r="C120" s="1">
        <v>130</v>
      </c>
      <c r="D120" s="1">
        <v>100</v>
      </c>
      <c r="E120" s="1">
        <v>75</v>
      </c>
      <c r="F120" s="1">
        <v>0</v>
      </c>
      <c r="G120" s="1">
        <v>1</v>
      </c>
      <c r="H120" s="2">
        <v>3.0324074074074073E-2</v>
      </c>
      <c r="I120" s="6">
        <v>4</v>
      </c>
      <c r="J120" s="1">
        <v>20</v>
      </c>
    </row>
    <row r="121" spans="1:13" x14ac:dyDescent="0.3">
      <c r="A121" s="1">
        <v>3</v>
      </c>
      <c r="B121" s="1">
        <v>260</v>
      </c>
      <c r="C121" s="1">
        <v>165</v>
      </c>
      <c r="D121" s="1">
        <v>130</v>
      </c>
      <c r="E121" s="1">
        <v>100</v>
      </c>
      <c r="F121" s="1">
        <v>0</v>
      </c>
      <c r="G121" s="1">
        <v>2</v>
      </c>
      <c r="H121" s="2">
        <v>3.8657407407407404E-2</v>
      </c>
      <c r="I121" s="6">
        <v>6</v>
      </c>
      <c r="J121" s="1">
        <v>30</v>
      </c>
    </row>
    <row r="122" spans="1:13" x14ac:dyDescent="0.3">
      <c r="A122" s="1">
        <v>4</v>
      </c>
      <c r="B122" s="1">
        <v>335</v>
      </c>
      <c r="C122" s="1">
        <v>210</v>
      </c>
      <c r="D122" s="1">
        <v>170</v>
      </c>
      <c r="E122" s="1">
        <v>125</v>
      </c>
      <c r="F122" s="1">
        <v>0</v>
      </c>
      <c r="G122" s="1">
        <v>2</v>
      </c>
      <c r="H122" s="2">
        <v>4.8263888888888891E-2</v>
      </c>
      <c r="I122" s="6">
        <v>4</v>
      </c>
      <c r="J122" s="1">
        <v>40</v>
      </c>
    </row>
    <row r="123" spans="1:13" x14ac:dyDescent="0.3">
      <c r="A123" s="1">
        <v>5</v>
      </c>
      <c r="B123" s="1">
        <v>430</v>
      </c>
      <c r="C123" s="1">
        <v>270</v>
      </c>
      <c r="D123" s="1">
        <v>215</v>
      </c>
      <c r="E123" s="1">
        <v>160</v>
      </c>
      <c r="F123" s="1">
        <v>0</v>
      </c>
      <c r="G123" s="1">
        <v>2</v>
      </c>
      <c r="H123" s="2">
        <v>5.949074074074074E-2</v>
      </c>
      <c r="I123" s="6">
        <v>10</v>
      </c>
      <c r="J123" s="1">
        <v>50</v>
      </c>
    </row>
    <row r="124" spans="1:13" x14ac:dyDescent="0.3">
      <c r="A124" s="1">
        <v>6</v>
      </c>
      <c r="B124" s="1">
        <v>550</v>
      </c>
      <c r="C124" s="1">
        <v>345</v>
      </c>
      <c r="D124" s="1">
        <v>275</v>
      </c>
      <c r="E124" s="1">
        <v>205</v>
      </c>
      <c r="F124" s="1">
        <v>1</v>
      </c>
      <c r="G124" s="1">
        <v>3</v>
      </c>
      <c r="H124" s="2">
        <v>7.2453703703703701E-2</v>
      </c>
      <c r="I124" s="6">
        <v>13</v>
      </c>
      <c r="J124" s="1">
        <v>60</v>
      </c>
    </row>
    <row r="125" spans="1:13" x14ac:dyDescent="0.3">
      <c r="A125" s="1">
        <v>7</v>
      </c>
      <c r="B125" s="1">
        <v>705</v>
      </c>
      <c r="C125" s="1">
        <v>440</v>
      </c>
      <c r="D125" s="1">
        <v>350</v>
      </c>
      <c r="E125" s="1">
        <v>265</v>
      </c>
      <c r="F125" s="1">
        <v>1</v>
      </c>
      <c r="G125" s="1">
        <v>4</v>
      </c>
      <c r="H125" s="2">
        <v>8.7615740740740744E-2</v>
      </c>
      <c r="I125" s="6">
        <v>15</v>
      </c>
      <c r="J125" s="1">
        <v>70</v>
      </c>
    </row>
    <row r="126" spans="1:13" x14ac:dyDescent="0.3">
      <c r="A126" s="1">
        <v>8</v>
      </c>
      <c r="B126" s="1">
        <v>900</v>
      </c>
      <c r="C126" s="1">
        <v>565</v>
      </c>
      <c r="D126" s="1">
        <v>450</v>
      </c>
      <c r="E126" s="1">
        <v>340</v>
      </c>
      <c r="F126" s="1">
        <v>1</v>
      </c>
      <c r="G126" s="1">
        <v>4</v>
      </c>
      <c r="H126" s="2">
        <v>0.1050925925925926</v>
      </c>
      <c r="I126" s="6">
        <v>17</v>
      </c>
      <c r="J126" s="1">
        <v>80</v>
      </c>
      <c r="M126" s="2"/>
    </row>
    <row r="127" spans="1:13" x14ac:dyDescent="0.3">
      <c r="A127" s="1">
        <v>9</v>
      </c>
      <c r="B127" s="1">
        <v>1155</v>
      </c>
      <c r="C127" s="1">
        <v>720</v>
      </c>
      <c r="D127" s="1">
        <v>575</v>
      </c>
      <c r="E127" s="1">
        <v>430</v>
      </c>
      <c r="F127" s="1">
        <v>1</v>
      </c>
      <c r="G127" s="1">
        <v>5</v>
      </c>
      <c r="H127" s="2">
        <v>0.12534722222222222</v>
      </c>
      <c r="I127" s="6">
        <v>18</v>
      </c>
      <c r="J127" s="1">
        <v>90</v>
      </c>
      <c r="M127" s="5"/>
    </row>
    <row r="128" spans="1:13" x14ac:dyDescent="0.3">
      <c r="A128" s="1">
        <v>10</v>
      </c>
      <c r="B128" s="1">
        <v>1475</v>
      </c>
      <c r="C128" s="1">
        <v>920</v>
      </c>
      <c r="D128" s="1">
        <v>740</v>
      </c>
      <c r="E128" s="1">
        <v>555</v>
      </c>
      <c r="F128" s="1">
        <v>1</v>
      </c>
      <c r="G128" s="1">
        <v>6</v>
      </c>
      <c r="H128" s="2">
        <v>0.14884259259259258</v>
      </c>
      <c r="I128" s="6">
        <v>22</v>
      </c>
      <c r="J128" s="1">
        <v>100</v>
      </c>
    </row>
    <row r="129" spans="1:11" x14ac:dyDescent="0.3">
      <c r="A129" s="1">
        <v>11</v>
      </c>
      <c r="B129" s="1">
        <v>1890</v>
      </c>
      <c r="C129" s="1">
        <v>1180</v>
      </c>
      <c r="D129" s="1">
        <v>945</v>
      </c>
      <c r="E129" s="1">
        <v>710</v>
      </c>
      <c r="F129" s="1">
        <v>1</v>
      </c>
      <c r="G129" s="1">
        <v>7</v>
      </c>
      <c r="H129" s="2">
        <v>0.1761574074074074</v>
      </c>
      <c r="I129" s="6">
        <v>24</v>
      </c>
      <c r="J129" s="1">
        <v>110</v>
      </c>
    </row>
    <row r="130" spans="1:11" x14ac:dyDescent="0.3">
      <c r="A130" s="1">
        <v>12</v>
      </c>
      <c r="B130" s="1">
        <v>2420</v>
      </c>
      <c r="C130" s="1">
        <v>1510</v>
      </c>
      <c r="D130" s="1">
        <v>1210</v>
      </c>
      <c r="E130" s="1">
        <v>905</v>
      </c>
      <c r="F130" s="1">
        <v>1</v>
      </c>
      <c r="G130" s="1">
        <v>9</v>
      </c>
      <c r="H130" s="2">
        <v>0.20775462962962962</v>
      </c>
      <c r="I130" s="6">
        <v>27</v>
      </c>
      <c r="J130" s="1">
        <v>120</v>
      </c>
    </row>
    <row r="131" spans="1:11" x14ac:dyDescent="0.3">
      <c r="A131" s="1">
        <v>13</v>
      </c>
      <c r="B131" s="1">
        <v>3095</v>
      </c>
      <c r="C131" s="1">
        <v>1935</v>
      </c>
      <c r="D131" s="1">
        <v>1545</v>
      </c>
      <c r="E131" s="1">
        <v>1160</v>
      </c>
      <c r="F131" s="1">
        <v>1</v>
      </c>
      <c r="G131" s="1">
        <v>11</v>
      </c>
      <c r="H131" s="2">
        <v>0.24456018518518519</v>
      </c>
      <c r="I131" s="6">
        <v>29</v>
      </c>
      <c r="J131" s="1">
        <v>130</v>
      </c>
    </row>
    <row r="132" spans="1:11" x14ac:dyDescent="0.3">
      <c r="A132" s="1">
        <v>14</v>
      </c>
      <c r="B132" s="1">
        <v>3960</v>
      </c>
      <c r="C132" s="1">
        <v>2475</v>
      </c>
      <c r="D132" s="1">
        <v>1980</v>
      </c>
      <c r="E132" s="1">
        <v>1485</v>
      </c>
      <c r="F132" s="1">
        <v>1</v>
      </c>
      <c r="G132" s="1">
        <v>13</v>
      </c>
      <c r="H132" s="2">
        <v>0.28715277777777776</v>
      </c>
      <c r="I132" s="6">
        <v>32</v>
      </c>
      <c r="J132" s="1">
        <v>140</v>
      </c>
    </row>
    <row r="133" spans="1:11" x14ac:dyDescent="0.3">
      <c r="A133" s="1">
        <v>15</v>
      </c>
      <c r="B133" s="1">
        <v>5070</v>
      </c>
      <c r="C133" s="1">
        <v>3170</v>
      </c>
      <c r="D133" s="1">
        <v>2535</v>
      </c>
      <c r="E133" s="1">
        <v>1900</v>
      </c>
      <c r="F133" s="1">
        <v>1</v>
      </c>
      <c r="G133" s="1">
        <v>15</v>
      </c>
      <c r="H133" s="2">
        <v>0.33657407407407408</v>
      </c>
      <c r="I133" s="6">
        <v>35</v>
      </c>
      <c r="J133" s="1">
        <v>150</v>
      </c>
    </row>
    <row r="134" spans="1:11" x14ac:dyDescent="0.3">
      <c r="A134" s="1">
        <v>16</v>
      </c>
      <c r="B134" s="1">
        <v>6490</v>
      </c>
      <c r="C134" s="1">
        <v>4055</v>
      </c>
      <c r="D134" s="1">
        <v>3245</v>
      </c>
      <c r="E134" s="1">
        <v>2435</v>
      </c>
      <c r="F134" s="1">
        <v>2</v>
      </c>
      <c r="G134" s="1">
        <v>18</v>
      </c>
      <c r="H134" s="2">
        <v>0.39386574074074077</v>
      </c>
      <c r="I134" s="6">
        <v>37</v>
      </c>
      <c r="J134" s="1">
        <v>160</v>
      </c>
    </row>
    <row r="135" spans="1:11" x14ac:dyDescent="0.3">
      <c r="A135" s="1">
        <v>17</v>
      </c>
      <c r="B135" s="1">
        <v>8310</v>
      </c>
      <c r="C135" s="1">
        <v>5190</v>
      </c>
      <c r="D135" s="1">
        <v>4155</v>
      </c>
      <c r="E135" s="1">
        <v>3115</v>
      </c>
      <c r="F135" s="1">
        <v>2</v>
      </c>
      <c r="G135" s="1">
        <v>22</v>
      </c>
      <c r="H135" s="2">
        <v>0.46030092592592592</v>
      </c>
      <c r="I135" s="6">
        <v>40</v>
      </c>
      <c r="J135" s="1">
        <v>170</v>
      </c>
    </row>
    <row r="136" spans="1:11" x14ac:dyDescent="0.3">
      <c r="A136" s="1">
        <v>18</v>
      </c>
      <c r="B136" s="1">
        <v>10635</v>
      </c>
      <c r="C136" s="1">
        <v>6645</v>
      </c>
      <c r="D136" s="1">
        <v>5315</v>
      </c>
      <c r="E136" s="1">
        <v>3990</v>
      </c>
      <c r="F136" s="1">
        <v>2</v>
      </c>
      <c r="G136" s="1">
        <v>27</v>
      </c>
      <c r="H136" s="2">
        <v>0.53749999999999998</v>
      </c>
      <c r="I136" s="6">
        <v>43</v>
      </c>
      <c r="J136" s="1">
        <v>180</v>
      </c>
    </row>
    <row r="137" spans="1:11" x14ac:dyDescent="0.3">
      <c r="A137" s="1">
        <v>19</v>
      </c>
      <c r="B137" s="1">
        <v>13610</v>
      </c>
      <c r="C137" s="1">
        <v>8505</v>
      </c>
      <c r="D137" s="1">
        <v>6805</v>
      </c>
      <c r="E137" s="1">
        <v>5105</v>
      </c>
      <c r="F137" s="1">
        <v>2</v>
      </c>
      <c r="G137" s="1">
        <v>32</v>
      </c>
      <c r="H137" s="2">
        <v>0.6269675925925926</v>
      </c>
      <c r="I137" s="6">
        <v>46</v>
      </c>
      <c r="J137" s="1">
        <v>190</v>
      </c>
    </row>
    <row r="138" spans="1:11" x14ac:dyDescent="0.3">
      <c r="A138" s="1">
        <v>20</v>
      </c>
      <c r="B138" s="1">
        <v>17420</v>
      </c>
      <c r="C138" s="1">
        <v>10890</v>
      </c>
      <c r="D138" s="1">
        <v>8710</v>
      </c>
      <c r="E138" s="1">
        <v>6535</v>
      </c>
      <c r="F138" s="1">
        <v>2</v>
      </c>
      <c r="G138" s="1">
        <v>38</v>
      </c>
      <c r="H138" s="2">
        <v>0.73067129629629635</v>
      </c>
      <c r="I138" s="6">
        <v>49</v>
      </c>
      <c r="J138" s="1">
        <v>200</v>
      </c>
    </row>
    <row r="139" spans="1:11" x14ac:dyDescent="0.3">
      <c r="I139" s="1"/>
    </row>
    <row r="140" spans="1:11" x14ac:dyDescent="0.3">
      <c r="A140" t="s">
        <v>112</v>
      </c>
      <c r="B140" t="s">
        <v>118</v>
      </c>
      <c r="D140" t="s">
        <v>109</v>
      </c>
    </row>
    <row r="141" spans="1:11" x14ac:dyDescent="0.3">
      <c r="A141" t="s">
        <v>94</v>
      </c>
      <c r="B141" t="s">
        <v>17</v>
      </c>
      <c r="C141" t="s">
        <v>18</v>
      </c>
      <c r="D141" t="s">
        <v>19</v>
      </c>
      <c r="E141" t="s">
        <v>20</v>
      </c>
      <c r="F141" t="s">
        <v>21</v>
      </c>
      <c r="G141" t="s">
        <v>95</v>
      </c>
      <c r="H141" t="s">
        <v>22</v>
      </c>
      <c r="I141" t="s">
        <v>96</v>
      </c>
      <c r="J141" t="s">
        <v>117</v>
      </c>
    </row>
    <row r="142" spans="1:11" x14ac:dyDescent="0.3">
      <c r="A142" s="1">
        <v>1</v>
      </c>
      <c r="B142" s="1">
        <v>320</v>
      </c>
      <c r="C142" s="1">
        <v>280</v>
      </c>
      <c r="D142" s="1">
        <v>420</v>
      </c>
      <c r="E142" s="1">
        <v>360</v>
      </c>
      <c r="F142" s="1">
        <v>4</v>
      </c>
      <c r="G142" s="1">
        <v>6</v>
      </c>
      <c r="H142" s="3">
        <v>3.4722222222222224E-2</v>
      </c>
      <c r="I142" s="1">
        <v>1</v>
      </c>
      <c r="K142" s="1"/>
    </row>
    <row r="143" spans="1:11" x14ac:dyDescent="0.3">
      <c r="A143" s="1">
        <v>2</v>
      </c>
      <c r="B143" s="1">
        <v>410</v>
      </c>
      <c r="C143" s="1">
        <v>360</v>
      </c>
      <c r="D143" s="1">
        <v>540</v>
      </c>
      <c r="E143" s="1">
        <v>460</v>
      </c>
      <c r="F143" s="1">
        <v>2</v>
      </c>
      <c r="G143" s="1">
        <v>7</v>
      </c>
      <c r="H143" s="3">
        <v>4.3749999999999997E-2</v>
      </c>
      <c r="I143" s="1">
        <v>0.9</v>
      </c>
      <c r="K143" s="1"/>
    </row>
    <row r="144" spans="1:11" x14ac:dyDescent="0.3">
      <c r="A144" s="1">
        <v>3</v>
      </c>
      <c r="B144" s="1">
        <v>525</v>
      </c>
      <c r="C144" s="1">
        <v>460</v>
      </c>
      <c r="D144" s="1">
        <v>690</v>
      </c>
      <c r="E144" s="1">
        <v>590</v>
      </c>
      <c r="F144" s="1">
        <v>2</v>
      </c>
      <c r="G144" s="1">
        <v>9</v>
      </c>
      <c r="H144" s="3">
        <v>5.4166666666666669E-2</v>
      </c>
      <c r="I144" s="1">
        <v>0.81</v>
      </c>
      <c r="K144" s="1"/>
    </row>
    <row r="145" spans="1:11" x14ac:dyDescent="0.3">
      <c r="A145" s="1">
        <v>4</v>
      </c>
      <c r="B145" s="1">
        <v>670</v>
      </c>
      <c r="C145" s="1">
        <v>585</v>
      </c>
      <c r="D145" s="1">
        <v>880</v>
      </c>
      <c r="E145" s="1">
        <v>755</v>
      </c>
      <c r="F145" s="1">
        <v>2</v>
      </c>
      <c r="G145" s="1">
        <v>10</v>
      </c>
      <c r="H145" s="3">
        <v>6.6319444444444445E-2</v>
      </c>
      <c r="I145" s="1">
        <v>0.72899999999999998</v>
      </c>
      <c r="K145" s="1"/>
    </row>
    <row r="146" spans="1:11" x14ac:dyDescent="0.3">
      <c r="A146" s="1">
        <v>5</v>
      </c>
      <c r="B146" s="1">
        <v>860</v>
      </c>
      <c r="C146" s="1">
        <v>750</v>
      </c>
      <c r="D146" s="1">
        <v>1125</v>
      </c>
      <c r="E146" s="1">
        <v>965</v>
      </c>
      <c r="F146" s="1">
        <v>2</v>
      </c>
      <c r="G146" s="1">
        <v>12</v>
      </c>
      <c r="H146" s="3">
        <v>8.0439814814814811E-2</v>
      </c>
      <c r="I146" s="1">
        <v>0.65600000000000003</v>
      </c>
      <c r="K146" s="1"/>
    </row>
    <row r="147" spans="1:11" x14ac:dyDescent="0.3">
      <c r="A147" s="1">
        <v>6</v>
      </c>
      <c r="B147" s="1">
        <v>1100</v>
      </c>
      <c r="C147" s="1">
        <v>960</v>
      </c>
      <c r="D147" s="1">
        <v>1445</v>
      </c>
      <c r="E147" s="1">
        <v>1235</v>
      </c>
      <c r="F147" s="1">
        <v>3</v>
      </c>
      <c r="G147" s="1">
        <v>15</v>
      </c>
      <c r="H147" s="3">
        <v>9.6759259259259253E-2</v>
      </c>
      <c r="I147" s="1">
        <v>0.59</v>
      </c>
      <c r="K147" s="1"/>
    </row>
    <row r="148" spans="1:11" x14ac:dyDescent="0.3">
      <c r="A148" s="1">
        <v>7</v>
      </c>
      <c r="B148" s="1">
        <v>1405</v>
      </c>
      <c r="C148" s="1">
        <v>1230</v>
      </c>
      <c r="D148" s="1">
        <v>1845</v>
      </c>
      <c r="E148" s="1">
        <v>1585</v>
      </c>
      <c r="F148" s="1">
        <v>3</v>
      </c>
      <c r="G148" s="1">
        <v>18</v>
      </c>
      <c r="H148" s="3">
        <v>0.11574074074074074</v>
      </c>
      <c r="I148" s="1">
        <v>0.53100000000000003</v>
      </c>
      <c r="K148" s="1"/>
    </row>
    <row r="149" spans="1:11" x14ac:dyDescent="0.3">
      <c r="A149" s="1">
        <v>8</v>
      </c>
      <c r="B149" s="1">
        <v>1800</v>
      </c>
      <c r="C149" s="1">
        <v>1575</v>
      </c>
      <c r="D149" s="1">
        <v>2365</v>
      </c>
      <c r="E149" s="1">
        <v>2025</v>
      </c>
      <c r="F149" s="1">
        <v>3</v>
      </c>
      <c r="G149" s="1">
        <v>21</v>
      </c>
      <c r="H149" s="3">
        <v>0.13773148148148148</v>
      </c>
      <c r="I149" s="1">
        <v>0.47799999999999998</v>
      </c>
      <c r="K149" s="1"/>
    </row>
    <row r="150" spans="1:11" x14ac:dyDescent="0.3">
      <c r="A150" s="1">
        <v>9</v>
      </c>
      <c r="B150" s="1">
        <v>2305</v>
      </c>
      <c r="C150" s="1">
        <v>2020</v>
      </c>
      <c r="D150" s="1">
        <v>3025</v>
      </c>
      <c r="E150" s="1">
        <v>2595</v>
      </c>
      <c r="F150" s="1">
        <v>3</v>
      </c>
      <c r="G150" s="1">
        <v>26</v>
      </c>
      <c r="H150" s="3">
        <v>0.1633101851851852</v>
      </c>
      <c r="I150" s="1">
        <v>0.43</v>
      </c>
      <c r="K150" s="1"/>
    </row>
    <row r="151" spans="1:11" x14ac:dyDescent="0.3">
      <c r="A151" s="1">
        <v>10</v>
      </c>
      <c r="B151" s="1">
        <v>2950</v>
      </c>
      <c r="C151" s="1">
        <v>2585</v>
      </c>
      <c r="D151" s="1">
        <v>3875</v>
      </c>
      <c r="E151" s="1">
        <v>3320</v>
      </c>
      <c r="F151" s="1">
        <v>3</v>
      </c>
      <c r="G151" s="1">
        <v>31</v>
      </c>
      <c r="H151" s="3">
        <v>0.19282407407407406</v>
      </c>
      <c r="I151" s="1">
        <v>0.38700000000000001</v>
      </c>
      <c r="K151" s="1"/>
    </row>
    <row r="152" spans="1:11" x14ac:dyDescent="0.3">
      <c r="A152" s="1">
        <v>11</v>
      </c>
      <c r="B152" s="1">
        <v>3780</v>
      </c>
      <c r="C152" s="1">
        <v>3305</v>
      </c>
      <c r="D152" s="1">
        <v>4960</v>
      </c>
      <c r="E152" s="1">
        <v>4250</v>
      </c>
      <c r="F152" s="1">
        <v>3</v>
      </c>
      <c r="G152" s="1">
        <v>37</v>
      </c>
      <c r="H152" s="3">
        <v>0.22719907407407408</v>
      </c>
      <c r="I152" s="1">
        <v>0.34899999999999998</v>
      </c>
      <c r="K152" s="1"/>
    </row>
    <row r="153" spans="1:11" x14ac:dyDescent="0.3">
      <c r="A153" s="1">
        <v>12</v>
      </c>
      <c r="B153" s="1">
        <v>4835</v>
      </c>
      <c r="C153" s="1">
        <v>4230</v>
      </c>
      <c r="D153" s="1">
        <v>6345</v>
      </c>
      <c r="E153" s="1">
        <v>5440</v>
      </c>
      <c r="F153" s="1">
        <v>3</v>
      </c>
      <c r="G153" s="1">
        <v>45</v>
      </c>
      <c r="H153" s="3">
        <v>0.26701388888888888</v>
      </c>
      <c r="I153" s="1">
        <v>0.314</v>
      </c>
      <c r="K153" s="1"/>
    </row>
    <row r="154" spans="1:11" x14ac:dyDescent="0.3">
      <c r="A154" s="1">
        <v>13</v>
      </c>
      <c r="B154" s="1">
        <v>6190</v>
      </c>
      <c r="C154" s="1">
        <v>5415</v>
      </c>
      <c r="D154" s="1">
        <v>8125</v>
      </c>
      <c r="E154" s="1">
        <v>6965</v>
      </c>
      <c r="F154" s="1">
        <v>3</v>
      </c>
      <c r="G154" s="1">
        <v>53</v>
      </c>
      <c r="H154" s="3">
        <v>0.31319444444444444</v>
      </c>
      <c r="I154" s="1">
        <v>0.28199999999999997</v>
      </c>
      <c r="K154" s="1"/>
    </row>
    <row r="155" spans="1:11" x14ac:dyDescent="0.3">
      <c r="A155" s="1">
        <v>14</v>
      </c>
      <c r="B155" s="1">
        <v>7925</v>
      </c>
      <c r="C155" s="1">
        <v>6930</v>
      </c>
      <c r="D155" s="1">
        <v>10400</v>
      </c>
      <c r="E155" s="1">
        <v>8915</v>
      </c>
      <c r="F155" s="1">
        <v>3</v>
      </c>
      <c r="G155" s="1">
        <v>64</v>
      </c>
      <c r="H155" s="3">
        <v>0.36678240740740742</v>
      </c>
      <c r="I155" s="1">
        <v>0.254</v>
      </c>
      <c r="K155" s="1"/>
    </row>
    <row r="156" spans="1:11" x14ac:dyDescent="0.3">
      <c r="A156" s="1">
        <v>15</v>
      </c>
      <c r="B156" s="1">
        <v>10140</v>
      </c>
      <c r="C156" s="1">
        <v>8875</v>
      </c>
      <c r="D156" s="1">
        <v>13310</v>
      </c>
      <c r="E156" s="1">
        <v>11410</v>
      </c>
      <c r="F156" s="1">
        <v>3</v>
      </c>
      <c r="G156" s="1">
        <v>77</v>
      </c>
      <c r="H156" s="3">
        <v>0.4289351851851852</v>
      </c>
      <c r="I156" s="1">
        <v>0.22900000000000001</v>
      </c>
      <c r="K156" s="1"/>
    </row>
    <row r="157" spans="1:11" x14ac:dyDescent="0.3">
      <c r="A157" s="1">
        <v>16</v>
      </c>
      <c r="B157" s="1">
        <v>12980</v>
      </c>
      <c r="C157" s="1">
        <v>11360</v>
      </c>
      <c r="D157" s="1">
        <v>17035</v>
      </c>
      <c r="E157" s="1">
        <v>14605</v>
      </c>
      <c r="F157" s="1">
        <v>4</v>
      </c>
      <c r="G157" s="1">
        <v>92</v>
      </c>
      <c r="H157" s="3">
        <v>0.50104166666666672</v>
      </c>
      <c r="I157" s="1">
        <v>0.20599999999999999</v>
      </c>
      <c r="K157" s="1"/>
    </row>
    <row r="158" spans="1:11" x14ac:dyDescent="0.3">
      <c r="A158" s="1">
        <v>17</v>
      </c>
      <c r="B158" s="1">
        <v>16615</v>
      </c>
      <c r="C158" s="1">
        <v>14540</v>
      </c>
      <c r="D158" s="1">
        <v>21810</v>
      </c>
      <c r="E158" s="1">
        <v>18690</v>
      </c>
      <c r="F158" s="1">
        <v>4</v>
      </c>
      <c r="G158" s="1">
        <v>111</v>
      </c>
      <c r="H158" s="3">
        <v>0.58472222222222225</v>
      </c>
      <c r="I158" s="1">
        <v>0.185</v>
      </c>
      <c r="K158" s="1"/>
    </row>
    <row r="159" spans="1:11" x14ac:dyDescent="0.3">
      <c r="A159" s="1">
        <v>18</v>
      </c>
      <c r="B159" s="1">
        <v>21270</v>
      </c>
      <c r="C159" s="1">
        <v>18610</v>
      </c>
      <c r="D159" s="1">
        <v>27915</v>
      </c>
      <c r="E159" s="1">
        <v>23925</v>
      </c>
      <c r="F159" s="1">
        <v>4</v>
      </c>
      <c r="G159" s="1">
        <v>133</v>
      </c>
      <c r="H159" s="3">
        <v>0.68171296296296291</v>
      </c>
      <c r="I159" s="1">
        <v>0.16700000000000001</v>
      </c>
      <c r="K159" s="1"/>
    </row>
    <row r="160" spans="1:11" x14ac:dyDescent="0.3">
      <c r="A160" s="1">
        <v>19</v>
      </c>
      <c r="B160" s="1">
        <v>27225</v>
      </c>
      <c r="C160" s="1">
        <v>23820</v>
      </c>
      <c r="D160" s="1">
        <v>35730</v>
      </c>
      <c r="E160" s="1">
        <v>30625</v>
      </c>
      <c r="F160" s="1">
        <v>4</v>
      </c>
      <c r="G160" s="1">
        <v>160</v>
      </c>
      <c r="H160" s="3">
        <v>0.79432870370370368</v>
      </c>
      <c r="I160" s="1">
        <v>0.15</v>
      </c>
      <c r="K160" s="1"/>
    </row>
    <row r="161" spans="1:11" x14ac:dyDescent="0.3">
      <c r="A161" s="1">
        <v>20</v>
      </c>
      <c r="B161" s="1">
        <v>34845</v>
      </c>
      <c r="C161" s="1">
        <v>30490</v>
      </c>
      <c r="D161" s="1">
        <v>45735</v>
      </c>
      <c r="E161" s="1">
        <v>39200</v>
      </c>
      <c r="F161" s="1">
        <v>4</v>
      </c>
      <c r="G161" s="1">
        <v>192</v>
      </c>
      <c r="H161" s="3">
        <v>0.92488425925925921</v>
      </c>
      <c r="I161" s="1">
        <v>0.13500000000000001</v>
      </c>
      <c r="K161" s="1"/>
    </row>
    <row r="163" spans="1:11" x14ac:dyDescent="0.3">
      <c r="A163" t="s">
        <v>111</v>
      </c>
      <c r="B163" t="s">
        <v>110</v>
      </c>
      <c r="D163" t="s">
        <v>114</v>
      </c>
    </row>
    <row r="164" spans="1:11" x14ac:dyDescent="0.3">
      <c r="A164" t="s">
        <v>94</v>
      </c>
      <c r="B164" t="s">
        <v>17</v>
      </c>
      <c r="C164" t="s">
        <v>18</v>
      </c>
      <c r="D164" t="s">
        <v>19</v>
      </c>
      <c r="E164" t="s">
        <v>20</v>
      </c>
      <c r="F164" t="s">
        <v>21</v>
      </c>
      <c r="G164" t="s">
        <v>95</v>
      </c>
      <c r="H164" t="s">
        <v>22</v>
      </c>
      <c r="I164" t="s">
        <v>96</v>
      </c>
      <c r="J164" t="s">
        <v>115</v>
      </c>
    </row>
    <row r="165" spans="1:11" x14ac:dyDescent="0.3">
      <c r="A165" s="1">
        <v>1</v>
      </c>
      <c r="B165" s="1">
        <v>110</v>
      </c>
      <c r="C165" s="1">
        <v>170</v>
      </c>
      <c r="D165" s="1">
        <v>70</v>
      </c>
      <c r="E165" s="1">
        <v>50</v>
      </c>
      <c r="F165" s="1">
        <v>0</v>
      </c>
      <c r="G165" s="1">
        <v>1</v>
      </c>
      <c r="H165" s="2">
        <v>2.3148148148148147E-2</v>
      </c>
      <c r="I165" s="1">
        <v>2</v>
      </c>
      <c r="J165" s="1">
        <v>6</v>
      </c>
    </row>
    <row r="166" spans="1:11" x14ac:dyDescent="0.3">
      <c r="A166" s="1">
        <v>2</v>
      </c>
      <c r="B166" s="1">
        <v>140</v>
      </c>
      <c r="C166" s="1">
        <v>220</v>
      </c>
      <c r="D166" s="1">
        <v>90</v>
      </c>
      <c r="E166" s="1">
        <v>65</v>
      </c>
      <c r="F166" s="1">
        <v>0</v>
      </c>
      <c r="G166" s="1">
        <v>1</v>
      </c>
      <c r="H166" s="2">
        <v>3.0324074074074073E-2</v>
      </c>
      <c r="I166" s="1">
        <v>3</v>
      </c>
      <c r="J166" s="1">
        <v>12</v>
      </c>
    </row>
    <row r="167" spans="1:11" x14ac:dyDescent="0.3">
      <c r="A167" s="1">
        <v>3</v>
      </c>
      <c r="B167" s="1">
        <v>180</v>
      </c>
      <c r="C167" s="1">
        <v>280</v>
      </c>
      <c r="D167" s="1">
        <v>115</v>
      </c>
      <c r="E167" s="1">
        <v>80</v>
      </c>
      <c r="F167" s="1">
        <v>0</v>
      </c>
      <c r="G167" s="1">
        <v>2</v>
      </c>
      <c r="H167" s="2">
        <v>3.8657407407407404E-2</v>
      </c>
      <c r="I167" s="1">
        <v>5</v>
      </c>
      <c r="J167" s="1">
        <v>18</v>
      </c>
    </row>
    <row r="168" spans="1:11" x14ac:dyDescent="0.3">
      <c r="A168" s="1">
        <v>4</v>
      </c>
      <c r="B168" s="1">
        <v>230</v>
      </c>
      <c r="C168" s="1">
        <v>355</v>
      </c>
      <c r="D168" s="1">
        <v>145</v>
      </c>
      <c r="E168" s="1">
        <v>105</v>
      </c>
      <c r="F168" s="1">
        <v>0</v>
      </c>
      <c r="G168" s="1">
        <v>2</v>
      </c>
      <c r="H168" s="2">
        <v>4.8263888888888891E-2</v>
      </c>
      <c r="I168" s="1">
        <v>6</v>
      </c>
      <c r="J168" s="1">
        <v>24</v>
      </c>
    </row>
    <row r="169" spans="1:11" x14ac:dyDescent="0.3">
      <c r="A169" s="1">
        <v>5</v>
      </c>
      <c r="B169" s="1">
        <v>295</v>
      </c>
      <c r="C169" s="1">
        <v>455</v>
      </c>
      <c r="D169" s="1">
        <v>190</v>
      </c>
      <c r="E169" s="1">
        <v>135</v>
      </c>
      <c r="F169" s="1">
        <v>0</v>
      </c>
      <c r="G169" s="1">
        <v>2</v>
      </c>
      <c r="H169" s="2">
        <v>5.949074074074074E-2</v>
      </c>
      <c r="I169" s="1">
        <v>8</v>
      </c>
      <c r="J169" s="1">
        <v>30</v>
      </c>
    </row>
    <row r="170" spans="1:11" x14ac:dyDescent="0.3">
      <c r="A170" s="1">
        <v>6</v>
      </c>
      <c r="B170" s="1">
        <v>380</v>
      </c>
      <c r="C170" s="1">
        <v>585</v>
      </c>
      <c r="D170" s="1">
        <v>240</v>
      </c>
      <c r="E170" s="1">
        <v>170</v>
      </c>
      <c r="F170" s="1">
        <v>1</v>
      </c>
      <c r="G170" s="1">
        <v>3</v>
      </c>
      <c r="H170" s="2">
        <v>7.2453703703703701E-2</v>
      </c>
      <c r="I170" s="1">
        <v>9</v>
      </c>
      <c r="J170" s="1">
        <v>36</v>
      </c>
    </row>
    <row r="171" spans="1:11" x14ac:dyDescent="0.3">
      <c r="A171" s="1">
        <v>7</v>
      </c>
      <c r="B171" s="1">
        <v>485</v>
      </c>
      <c r="C171" s="1">
        <v>750</v>
      </c>
      <c r="D171" s="1">
        <v>310</v>
      </c>
      <c r="E171" s="1">
        <v>220</v>
      </c>
      <c r="F171" s="1">
        <v>1</v>
      </c>
      <c r="G171" s="1">
        <v>4</v>
      </c>
      <c r="H171" s="2">
        <v>8.7615740740740744E-2</v>
      </c>
      <c r="I171" s="1">
        <v>11</v>
      </c>
      <c r="J171" s="1">
        <v>42</v>
      </c>
    </row>
    <row r="172" spans="1:11" x14ac:dyDescent="0.3">
      <c r="A172" s="1">
        <v>8</v>
      </c>
      <c r="B172" s="1">
        <v>620</v>
      </c>
      <c r="C172" s="1">
        <v>955</v>
      </c>
      <c r="D172" s="1">
        <v>395</v>
      </c>
      <c r="E172" s="1">
        <v>280</v>
      </c>
      <c r="F172" s="1">
        <v>1</v>
      </c>
      <c r="G172" s="1">
        <v>4</v>
      </c>
      <c r="H172" s="2">
        <v>0.1050925925925926</v>
      </c>
      <c r="I172" s="1">
        <v>13</v>
      </c>
      <c r="J172" s="1">
        <v>48</v>
      </c>
    </row>
    <row r="173" spans="1:11" x14ac:dyDescent="0.3">
      <c r="A173" s="1">
        <v>9</v>
      </c>
      <c r="B173" s="1">
        <v>795</v>
      </c>
      <c r="C173" s="1">
        <v>1225</v>
      </c>
      <c r="D173" s="1">
        <v>505</v>
      </c>
      <c r="E173" s="1">
        <v>360</v>
      </c>
      <c r="F173" s="1">
        <v>1</v>
      </c>
      <c r="G173" s="1">
        <v>5</v>
      </c>
      <c r="H173" s="2">
        <v>0.12534722222222222</v>
      </c>
      <c r="I173" s="1">
        <v>14</v>
      </c>
      <c r="J173" s="1">
        <v>54</v>
      </c>
    </row>
    <row r="174" spans="1:11" x14ac:dyDescent="0.3">
      <c r="A174" s="1">
        <v>10</v>
      </c>
      <c r="B174" s="1">
        <v>1015</v>
      </c>
      <c r="C174" s="1">
        <v>1570</v>
      </c>
      <c r="D174" s="1">
        <v>645</v>
      </c>
      <c r="E174" s="1">
        <v>460</v>
      </c>
      <c r="F174" s="1">
        <v>1</v>
      </c>
      <c r="G174" s="1">
        <v>6</v>
      </c>
      <c r="H174" s="2">
        <v>0.14884259259259258</v>
      </c>
      <c r="I174" s="1">
        <v>16</v>
      </c>
      <c r="J174" s="1">
        <v>60</v>
      </c>
    </row>
    <row r="175" spans="1:11" x14ac:dyDescent="0.3">
      <c r="A175" s="1">
        <v>11</v>
      </c>
      <c r="B175" s="1">
        <v>1300</v>
      </c>
      <c r="C175" s="1">
        <v>2005</v>
      </c>
      <c r="D175" s="1">
        <v>825</v>
      </c>
      <c r="E175" s="1">
        <v>590</v>
      </c>
      <c r="F175" s="1">
        <v>1</v>
      </c>
      <c r="G175" s="1">
        <v>7</v>
      </c>
      <c r="H175" s="2">
        <v>0.1761574074074074</v>
      </c>
      <c r="I175" s="1">
        <v>18</v>
      </c>
      <c r="J175" s="1">
        <v>66</v>
      </c>
    </row>
    <row r="176" spans="1:11" x14ac:dyDescent="0.3">
      <c r="A176" s="1">
        <v>12</v>
      </c>
      <c r="B176" s="1">
        <v>1660</v>
      </c>
      <c r="C176" s="1">
        <v>2570</v>
      </c>
      <c r="D176" s="1">
        <v>1060</v>
      </c>
      <c r="E176" s="1">
        <v>755</v>
      </c>
      <c r="F176" s="1">
        <v>1</v>
      </c>
      <c r="G176" s="1">
        <v>9</v>
      </c>
      <c r="H176" s="2">
        <v>0.20775462962962962</v>
      </c>
      <c r="I176" s="1">
        <v>20</v>
      </c>
      <c r="J176" s="1">
        <v>72</v>
      </c>
    </row>
    <row r="177" spans="1:10" x14ac:dyDescent="0.3">
      <c r="A177" s="1">
        <v>13</v>
      </c>
      <c r="B177" s="1">
        <v>2130</v>
      </c>
      <c r="C177" s="1">
        <v>3290</v>
      </c>
      <c r="D177" s="1">
        <v>1355</v>
      </c>
      <c r="E177" s="1">
        <v>965</v>
      </c>
      <c r="F177" s="1">
        <v>1</v>
      </c>
      <c r="G177" s="1">
        <v>11</v>
      </c>
      <c r="H177" s="2">
        <v>0.24456018518518519</v>
      </c>
      <c r="I177" s="1">
        <v>21</v>
      </c>
      <c r="J177" s="1">
        <v>78</v>
      </c>
    </row>
    <row r="178" spans="1:10" x14ac:dyDescent="0.3">
      <c r="A178" s="1">
        <v>14</v>
      </c>
      <c r="B178" s="1">
        <v>2725</v>
      </c>
      <c r="C178" s="1">
        <v>4210</v>
      </c>
      <c r="D178" s="1">
        <v>1735</v>
      </c>
      <c r="E178" s="1">
        <v>1240</v>
      </c>
      <c r="F178" s="1">
        <v>1</v>
      </c>
      <c r="G178" s="1">
        <v>13</v>
      </c>
      <c r="H178" s="2">
        <v>0.28715277777777776</v>
      </c>
      <c r="I178" s="1">
        <v>23</v>
      </c>
      <c r="J178" s="1">
        <v>84</v>
      </c>
    </row>
    <row r="179" spans="1:10" x14ac:dyDescent="0.3">
      <c r="A179" s="1">
        <v>15</v>
      </c>
      <c r="B179" s="1">
        <v>3485</v>
      </c>
      <c r="C179" s="1">
        <v>5390</v>
      </c>
      <c r="D179" s="1">
        <v>2220</v>
      </c>
      <c r="E179" s="1">
        <v>1585</v>
      </c>
      <c r="F179" s="1">
        <v>1</v>
      </c>
      <c r="G179" s="1">
        <v>15</v>
      </c>
      <c r="H179" s="2">
        <v>0.33657407407407408</v>
      </c>
      <c r="I179" s="1">
        <v>25</v>
      </c>
      <c r="J179" s="1">
        <v>90</v>
      </c>
    </row>
    <row r="180" spans="1:10" x14ac:dyDescent="0.3">
      <c r="A180" s="1">
        <v>16</v>
      </c>
      <c r="B180" s="1">
        <v>4460</v>
      </c>
      <c r="C180" s="1">
        <v>6895</v>
      </c>
      <c r="D180" s="1">
        <v>2840</v>
      </c>
      <c r="E180" s="1">
        <v>2030</v>
      </c>
      <c r="F180" s="1">
        <v>2</v>
      </c>
      <c r="G180" s="1">
        <v>18</v>
      </c>
      <c r="H180" s="2">
        <v>0.39386574074074077</v>
      </c>
      <c r="I180" s="1">
        <v>27</v>
      </c>
      <c r="J180" s="1">
        <v>96</v>
      </c>
    </row>
    <row r="181" spans="1:10" x14ac:dyDescent="0.3">
      <c r="A181" s="1">
        <v>17</v>
      </c>
      <c r="B181" s="1">
        <v>5710</v>
      </c>
      <c r="C181" s="1">
        <v>8825</v>
      </c>
      <c r="D181" s="1">
        <v>3635</v>
      </c>
      <c r="E181" s="1">
        <v>2595</v>
      </c>
      <c r="F181" s="1">
        <v>2</v>
      </c>
      <c r="G181" s="1">
        <v>22</v>
      </c>
      <c r="H181" s="2">
        <v>0.46030092592592592</v>
      </c>
      <c r="I181" s="1">
        <v>29</v>
      </c>
      <c r="J181" s="1">
        <v>102</v>
      </c>
    </row>
    <row r="182" spans="1:10" x14ac:dyDescent="0.3">
      <c r="A182" s="1">
        <v>18</v>
      </c>
      <c r="B182" s="1">
        <v>7310</v>
      </c>
      <c r="C182" s="1">
        <v>11300</v>
      </c>
      <c r="D182" s="1">
        <v>4650</v>
      </c>
      <c r="E182" s="1">
        <v>3325</v>
      </c>
      <c r="F182" s="1">
        <v>2</v>
      </c>
      <c r="G182" s="1">
        <v>27</v>
      </c>
      <c r="H182" s="2">
        <v>0.53749999999999998</v>
      </c>
      <c r="I182" s="1">
        <v>31</v>
      </c>
      <c r="J182" s="1">
        <v>108</v>
      </c>
    </row>
    <row r="183" spans="1:10" x14ac:dyDescent="0.3">
      <c r="A183" s="1">
        <v>19</v>
      </c>
      <c r="B183" s="1">
        <v>9360</v>
      </c>
      <c r="C183" s="1">
        <v>14460</v>
      </c>
      <c r="D183" s="1">
        <v>5955</v>
      </c>
      <c r="E183" s="1">
        <v>4255</v>
      </c>
      <c r="F183" s="1">
        <v>2</v>
      </c>
      <c r="G183" s="1">
        <v>32</v>
      </c>
      <c r="H183" s="2">
        <v>0.6269675925925926</v>
      </c>
      <c r="I183" s="1">
        <v>33</v>
      </c>
      <c r="J183" s="1">
        <v>114</v>
      </c>
    </row>
    <row r="184" spans="1:10" x14ac:dyDescent="0.3">
      <c r="A184" s="1">
        <v>20</v>
      </c>
      <c r="B184" s="1">
        <v>11980</v>
      </c>
      <c r="C184" s="1">
        <v>18510</v>
      </c>
      <c r="D184" s="1">
        <v>7620</v>
      </c>
      <c r="E184" s="1">
        <v>5445</v>
      </c>
      <c r="F184" s="1">
        <v>2</v>
      </c>
      <c r="G184" s="1">
        <v>38</v>
      </c>
      <c r="H184" s="2">
        <v>0.73067129629629635</v>
      </c>
      <c r="I184" s="1">
        <v>35</v>
      </c>
      <c r="J184" s="1">
        <v>120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unitdata</vt:lpstr>
      <vt:lpstr>resdata</vt:lpstr>
      <vt:lpstr>abdata51-58</vt:lpstr>
      <vt:lpstr>abdata61-68</vt:lpstr>
      <vt:lpstr>abdata71-78</vt:lpstr>
      <vt:lpstr>abdata81-88</vt:lpstr>
      <vt:lpstr>buidata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Henrique de Medeiros</dc:creator>
  <cp:lastModifiedBy>Fernando Henrique de Medeiros</cp:lastModifiedBy>
  <dcterms:created xsi:type="dcterms:W3CDTF">2026-06-07T16:44:44Z</dcterms:created>
  <dcterms:modified xsi:type="dcterms:W3CDTF">2026-06-09T17:35:48Z</dcterms:modified>
</cp:coreProperties>
</file>